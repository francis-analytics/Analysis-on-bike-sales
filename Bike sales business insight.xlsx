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A93FE6A9-1B79-4123-994B-48C09283B630}" xr6:coauthVersionLast="47" xr6:coauthVersionMax="47" xr10:uidLastSave="{00000000-0000-0000-0000-000000000000}"/>
  <bookViews>
    <workbookView xWindow="5100" yWindow="915" windowWidth="15375" windowHeight="7785" xr2:uid="{00000000-000D-0000-FFFF-FFFF00000000}"/>
  </bookViews>
  <sheets>
    <sheet name="bike_buyers" sheetId="1" r:id="rId1"/>
    <sheet name="Working Sheet" sheetId="4" r:id="rId2"/>
    <sheet name="Pivot Table" sheetId="3" r:id="rId3"/>
    <sheet name="Dashboard" sheetId="5" r:id="rId4"/>
  </sheets>
  <definedNames>
    <definedName name="_xlnm._FilterDatabase" localSheetId="0" hidden="1">bike_buyers!$A$1:$M$1001</definedName>
    <definedName name="_xlnm._FilterDatabase" localSheetId="1" hidden="1">'Working Sheet'!$N$1:$N$1027</definedName>
    <definedName name="Slicer_Education">#N/A</definedName>
    <definedName name="Slicer_Marriedarital_Single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<sst xmlns="http://schemas.openxmlformats.org/spreadsheetml/2006/main" count="16266" uniqueCount="51">
  <si>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</si>
  <si>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</si>
  <si>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</si>
  <si>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</si>
  <si>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</si>
  <si>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</si>
  <si>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</si>
  <si>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</si>
  <si>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</si>
  <si>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</si>
  <si>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</si>
  <si>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</si>
  <si>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</si>
  <si>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</si>
  <si>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</si>
  <si>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</si>
  <si>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</si>
  <si>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</si>
  <si>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</si>
  <si>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</si>
  <si>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</si>
  <si>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</si>
  <si>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</si>
  <si>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</si>
  <si>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</si>
  <si>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</si>
  <si>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</si>
  <si>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</si>
  <si>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</si>
  <si>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</si>
  <si>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</si>
  <si>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</si>
  <si>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</si>
  <si>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</si>
  <si>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</si>
  <si>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</si>
  <si>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</si>
  <si>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</si>
  <si>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Marriedarital Singletatus</t>
  </si>
  <si>
    <t>Female</t>
  </si>
  <si>
    <t>Male</t>
  </si>
  <si>
    <t>Age Brackets</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</si>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</sst>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applyAlignment="1">
      <alignment horizontal="right"/>
    </xf>
    <xf numFmtId="0" fontId="19" fillId="33" borderId="0" xfId="0" applyFont="1" applyFill="1" applyAlignment="1">
      <alignment horizontal="right"/>
    </xf>
    <xf numFmtId="0" fontId="0" fillId="33" borderId="0" xfId="0" applyFill="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70588.23529411765</c:v>
                </c:pt>
                <c:pt idx="1">
                  <c:v>97500</c:v>
                </c:pt>
              </c:numCache>
            </c:numRef>
          </c:val>
          <c:extLst>
            <c:ext xmlns:c16="http://schemas.microsoft.com/office/drawing/2014/chart" uri="{C3380CC4-5D6E-409C-BE32-E72D297353CC}">
              <c16:uniqueId val="{00000000-D427-47BB-9169-DF3306D52E3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64705.882352941175</c:v>
                </c:pt>
                <c:pt idx="1">
                  <c:v>78750</c:v>
                </c:pt>
              </c:numCache>
            </c:numRef>
          </c:val>
          <c:extLst>
            <c:ext xmlns:c16="http://schemas.microsoft.com/office/drawing/2014/chart" uri="{C3380CC4-5D6E-409C-BE32-E72D297353CC}">
              <c16:uniqueId val="{00000001-D427-47BB-9169-DF3306D52E35}"/>
            </c:ext>
          </c:extLst>
        </c:ser>
        <c:dLbls>
          <c:showLegendKey val="0"/>
          <c:showVal val="0"/>
          <c:showCatName val="0"/>
          <c:showSerName val="0"/>
          <c:showPercent val="0"/>
          <c:showBubbleSize val="0"/>
        </c:dLbls>
        <c:gapWidth val="219"/>
        <c:overlap val="-27"/>
        <c:axId val="167303760"/>
        <c:axId val="167305424"/>
      </c:barChart>
      <c:catAx>
        <c:axId val="16730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05424"/>
        <c:crosses val="autoZero"/>
        <c:auto val="1"/>
        <c:lblAlgn val="ctr"/>
        <c:lblOffset val="100"/>
        <c:noMultiLvlLbl val="0"/>
      </c:catAx>
      <c:valAx>
        <c:axId val="16730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037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8</c:v>
                </c:pt>
                <c:pt idx="1">
                  <c:v>7</c:v>
                </c:pt>
                <c:pt idx="2">
                  <c:v>1</c:v>
                </c:pt>
                <c:pt idx="3">
                  <c:v>3</c:v>
                </c:pt>
                <c:pt idx="4">
                  <c:v>2</c:v>
                </c:pt>
              </c:numCache>
            </c:numRef>
          </c:val>
          <c:smooth val="0"/>
          <c:extLst>
            <c:ext xmlns:c16="http://schemas.microsoft.com/office/drawing/2014/chart" uri="{C3380CC4-5D6E-409C-BE32-E72D297353CC}">
              <c16:uniqueId val="{00000000-9E85-4532-943F-7F4EA0D14DB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4</c:v>
                </c:pt>
                <c:pt idx="2">
                  <c:v>9</c:v>
                </c:pt>
                <c:pt idx="3">
                  <c:v>4</c:v>
                </c:pt>
                <c:pt idx="4">
                  <c:v>3</c:v>
                </c:pt>
              </c:numCache>
            </c:numRef>
          </c:val>
          <c:smooth val="0"/>
          <c:extLst>
            <c:ext xmlns:c16="http://schemas.microsoft.com/office/drawing/2014/chart" uri="{C3380CC4-5D6E-409C-BE32-E72D297353CC}">
              <c16:uniqueId val="{00000004-9E85-4532-943F-7F4EA0D14DB4}"/>
            </c:ext>
          </c:extLst>
        </c:ser>
        <c:dLbls>
          <c:showLegendKey val="0"/>
          <c:showVal val="0"/>
          <c:showCatName val="0"/>
          <c:showSerName val="0"/>
          <c:showPercent val="0"/>
          <c:showBubbleSize val="0"/>
        </c:dLbls>
        <c:smooth val="0"/>
        <c:axId val="295436976"/>
        <c:axId val="295439888"/>
      </c:lineChart>
      <c:catAx>
        <c:axId val="295436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0158991960324486"/>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39888"/>
        <c:crosses val="autoZero"/>
        <c:auto val="1"/>
        <c:lblAlgn val="ctr"/>
        <c:lblOffset val="100"/>
        <c:noMultiLvlLbl val="0"/>
      </c:catAx>
      <c:valAx>
        <c:axId val="29543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3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40949300087489071"/>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15</c:v>
                </c:pt>
                <c:pt idx="1">
                  <c:v>6</c:v>
                </c:pt>
              </c:numCache>
            </c:numRef>
          </c:val>
          <c:smooth val="0"/>
          <c:extLst>
            <c:ext xmlns:c16="http://schemas.microsoft.com/office/drawing/2014/chart" uri="{C3380CC4-5D6E-409C-BE32-E72D297353CC}">
              <c16:uniqueId val="{00000000-83A5-41A5-B254-2C46D7A143D6}"/>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21</c:v>
                </c:pt>
                <c:pt idx="1">
                  <c:v>4</c:v>
                </c:pt>
              </c:numCache>
            </c:numRef>
          </c:val>
          <c:smooth val="0"/>
          <c:extLst>
            <c:ext xmlns:c16="http://schemas.microsoft.com/office/drawing/2014/chart" uri="{C3380CC4-5D6E-409C-BE32-E72D297353CC}">
              <c16:uniqueId val="{00000001-83A5-41A5-B254-2C46D7A143D6}"/>
            </c:ext>
          </c:extLst>
        </c:ser>
        <c:dLbls>
          <c:showLegendKey val="0"/>
          <c:showVal val="0"/>
          <c:showCatName val="0"/>
          <c:showSerName val="0"/>
          <c:showPercent val="0"/>
          <c:showBubbleSize val="0"/>
        </c:dLbls>
        <c:marker val="1"/>
        <c:smooth val="0"/>
        <c:axId val="295421168"/>
        <c:axId val="295434064"/>
      </c:lineChart>
      <c:catAx>
        <c:axId val="29542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34064"/>
        <c:crosses val="autoZero"/>
        <c:auto val="1"/>
        <c:lblAlgn val="ctr"/>
        <c:lblOffset val="100"/>
        <c:noMultiLvlLbl val="0"/>
      </c:catAx>
      <c:valAx>
        <c:axId val="29543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2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70588.23529411765</c:v>
                </c:pt>
                <c:pt idx="1">
                  <c:v>97500</c:v>
                </c:pt>
              </c:numCache>
            </c:numRef>
          </c:val>
          <c:extLst>
            <c:ext xmlns:c16="http://schemas.microsoft.com/office/drawing/2014/chart" uri="{C3380CC4-5D6E-409C-BE32-E72D297353CC}">
              <c16:uniqueId val="{00000000-8D3C-4134-BB3F-EAB6E980C41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64705.882352941175</c:v>
                </c:pt>
                <c:pt idx="1">
                  <c:v>78750</c:v>
                </c:pt>
              </c:numCache>
            </c:numRef>
          </c:val>
          <c:extLst>
            <c:ext xmlns:c16="http://schemas.microsoft.com/office/drawing/2014/chart" uri="{C3380CC4-5D6E-409C-BE32-E72D297353CC}">
              <c16:uniqueId val="{00000001-8D3C-4134-BB3F-EAB6E980C412}"/>
            </c:ext>
          </c:extLst>
        </c:ser>
        <c:dLbls>
          <c:showLegendKey val="0"/>
          <c:showVal val="0"/>
          <c:showCatName val="0"/>
          <c:showSerName val="0"/>
          <c:showPercent val="0"/>
          <c:showBubbleSize val="0"/>
        </c:dLbls>
        <c:gapWidth val="219"/>
        <c:overlap val="-27"/>
        <c:axId val="167303760"/>
        <c:axId val="167305424"/>
      </c:barChart>
      <c:catAx>
        <c:axId val="167303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05424"/>
        <c:crosses val="autoZero"/>
        <c:auto val="1"/>
        <c:lblAlgn val="ctr"/>
        <c:lblOffset val="100"/>
        <c:noMultiLvlLbl val="0"/>
      </c:catAx>
      <c:valAx>
        <c:axId val="167305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037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8</c:v>
                </c:pt>
                <c:pt idx="1">
                  <c:v>7</c:v>
                </c:pt>
                <c:pt idx="2">
                  <c:v>1</c:v>
                </c:pt>
                <c:pt idx="3">
                  <c:v>3</c:v>
                </c:pt>
                <c:pt idx="4">
                  <c:v>2</c:v>
                </c:pt>
              </c:numCache>
            </c:numRef>
          </c:val>
          <c:smooth val="0"/>
          <c:extLst>
            <c:ext xmlns:c16="http://schemas.microsoft.com/office/drawing/2014/chart" uri="{C3380CC4-5D6E-409C-BE32-E72D297353CC}">
              <c16:uniqueId val="{00000000-40BB-4A5E-A82C-78B0F239520D}"/>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4</c:v>
                </c:pt>
                <c:pt idx="2">
                  <c:v>9</c:v>
                </c:pt>
                <c:pt idx="3">
                  <c:v>4</c:v>
                </c:pt>
                <c:pt idx="4">
                  <c:v>3</c:v>
                </c:pt>
              </c:numCache>
            </c:numRef>
          </c:val>
          <c:smooth val="0"/>
          <c:extLst>
            <c:ext xmlns:c16="http://schemas.microsoft.com/office/drawing/2014/chart" uri="{C3380CC4-5D6E-409C-BE32-E72D297353CC}">
              <c16:uniqueId val="{00000001-40BB-4A5E-A82C-78B0F239520D}"/>
            </c:ext>
          </c:extLst>
        </c:ser>
        <c:dLbls>
          <c:showLegendKey val="0"/>
          <c:showVal val="0"/>
          <c:showCatName val="0"/>
          <c:showSerName val="0"/>
          <c:showPercent val="0"/>
          <c:showBubbleSize val="0"/>
        </c:dLbls>
        <c:smooth val="0"/>
        <c:axId val="295436976"/>
        <c:axId val="295439888"/>
      </c:lineChart>
      <c:catAx>
        <c:axId val="295436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0158991960324486"/>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39888"/>
        <c:crosses val="autoZero"/>
        <c:auto val="1"/>
        <c:lblAlgn val="ctr"/>
        <c:lblOffset val="100"/>
        <c:noMultiLvlLbl val="0"/>
      </c:catAx>
      <c:valAx>
        <c:axId val="29543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3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layout>
        <c:manualLayout>
          <c:xMode val="edge"/>
          <c:yMode val="edge"/>
          <c:x val="0.40949300087489071"/>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Table'!$A$37:$A$39</c:f>
              <c:strCache>
                <c:ptCount val="2"/>
                <c:pt idx="0">
                  <c:v>Middle age</c:v>
                </c:pt>
                <c:pt idx="1">
                  <c:v>Old</c:v>
                </c:pt>
              </c:strCache>
            </c:strRef>
          </c:cat>
          <c:val>
            <c:numRef>
              <c:f>'Pivot Table'!$B$37:$B$39</c:f>
              <c:numCache>
                <c:formatCode>General</c:formatCode>
                <c:ptCount val="2"/>
                <c:pt idx="0">
                  <c:v>15</c:v>
                </c:pt>
                <c:pt idx="1">
                  <c:v>6</c:v>
                </c:pt>
              </c:numCache>
            </c:numRef>
          </c:val>
          <c:smooth val="0"/>
          <c:extLst>
            <c:ext xmlns:c16="http://schemas.microsoft.com/office/drawing/2014/chart" uri="{C3380CC4-5D6E-409C-BE32-E72D297353CC}">
              <c16:uniqueId val="{00000000-70C2-4AAA-ACC2-B7E6D90FF0D9}"/>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Table'!$A$37:$A$39</c:f>
              <c:strCache>
                <c:ptCount val="2"/>
                <c:pt idx="0">
                  <c:v>Middle age</c:v>
                </c:pt>
                <c:pt idx="1">
                  <c:v>Old</c:v>
                </c:pt>
              </c:strCache>
            </c:strRef>
          </c:cat>
          <c:val>
            <c:numRef>
              <c:f>'Pivot Table'!$C$37:$C$39</c:f>
              <c:numCache>
                <c:formatCode>General</c:formatCode>
                <c:ptCount val="2"/>
                <c:pt idx="0">
                  <c:v>21</c:v>
                </c:pt>
                <c:pt idx="1">
                  <c:v>4</c:v>
                </c:pt>
              </c:numCache>
            </c:numRef>
          </c:val>
          <c:smooth val="0"/>
          <c:extLst>
            <c:ext xmlns:c16="http://schemas.microsoft.com/office/drawing/2014/chart" uri="{C3380CC4-5D6E-409C-BE32-E72D297353CC}">
              <c16:uniqueId val="{00000001-70C2-4AAA-ACC2-B7E6D90FF0D9}"/>
            </c:ext>
          </c:extLst>
        </c:ser>
        <c:dLbls>
          <c:showLegendKey val="0"/>
          <c:showVal val="0"/>
          <c:showCatName val="0"/>
          <c:showSerName val="0"/>
          <c:showPercent val="0"/>
          <c:showBubbleSize val="0"/>
        </c:dLbls>
        <c:marker val="1"/>
        <c:smooth val="0"/>
        <c:axId val="295421168"/>
        <c:axId val="295434064"/>
      </c:lineChart>
      <c:catAx>
        <c:axId val="295421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34064"/>
        <c:crosses val="autoZero"/>
        <c:auto val="1"/>
        <c:lblAlgn val="ctr"/>
        <c:lblOffset val="100"/>
        <c:noMultiLvlLbl val="0"/>
      </c:catAx>
      <c:valAx>
        <c:axId val="29543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42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514350</xdr:colOff>
      <xdr:row>0</xdr:row>
      <xdr:rowOff>95250</xdr:rowOff>
    </xdr:from>
    <xdr:to>
      <xdr:col>11</xdr:col>
      <xdr:colOff>47626</xdr:colOff>
      <xdr:row>13</xdr:row>
      <xdr:rowOff>47625</xdr:rowOff>
    </xdr:to>
    <xdr:graphicFrame macro="">
      <xdr:nvGraphicFramePr>
        <xdr:cNvPr id="2" name="Chart 1">
          <a:extLst>
            <a:ext uri="{FF2B5EF4-FFF2-40B4-BE49-F238E27FC236}">
              <a16:creationId xmlns:a16="http://schemas.microsoft.com/office/drawing/2014/main" id="{84E1E33F-509D-4E1B-B085-4C765709D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314325</xdr:colOff>
      <xdr:row>15</xdr:row>
      <xdr:rowOff>52387</xdr:rowOff>
    </xdr:from>
    <xdr:to>
      <xdr:col>12</xdr:col>
      <xdr:colOff>266700</xdr:colOff>
      <xdr:row>29</xdr:row>
      <xdr:rowOff>128587</xdr:rowOff>
    </xdr:to>
    <xdr:graphicFrame macro="">
      <xdr:nvGraphicFramePr>
        <xdr:cNvPr id="3" name="Chart 2">
          <a:extLst>
            <a:ext uri="{FF2B5EF4-FFF2-40B4-BE49-F238E27FC236}">
              <a16:creationId xmlns:a16="http://schemas.microsoft.com/office/drawing/2014/main" id="{26280CB0-437E-4313-BC83-6159F6B82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352425</xdr:colOff>
      <xdr:row>30</xdr:row>
      <xdr:rowOff>157162</xdr:rowOff>
    </xdr:from>
    <xdr:to>
      <xdr:col>12</xdr:col>
      <xdr:colOff>47625</xdr:colOff>
      <xdr:row>45</xdr:row>
      <xdr:rowOff>42862</xdr:rowOff>
    </xdr:to>
    <xdr:graphicFrame macro="">
      <xdr:nvGraphicFramePr>
        <xdr:cNvPr id="4" name="Chart 3">
          <a:extLst>
            <a:ext uri="{FF2B5EF4-FFF2-40B4-BE49-F238E27FC236}">
              <a16:creationId xmlns:a16="http://schemas.microsoft.com/office/drawing/2014/main" id="{A004AFB4-A50B-4773-A044-3CDC4E930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85724</xdr:colOff>
      <xdr:row>3</xdr:row>
      <xdr:rowOff>9524</xdr:rowOff>
    </xdr:from>
    <xdr:to>
      <xdr:col>6</xdr:col>
      <xdr:colOff>190500</xdr:colOff>
      <xdr:row>15</xdr:row>
      <xdr:rowOff>142875</xdr:rowOff>
    </xdr:to>
    <xdr:graphicFrame macro="">
      <xdr:nvGraphicFramePr>
        <xdr:cNvPr id="3" name="Chart 2">
          <a:extLst>
            <a:ext uri="{FF2B5EF4-FFF2-40B4-BE49-F238E27FC236}">
              <a16:creationId xmlns:a16="http://schemas.microsoft.com/office/drawing/2014/main" id="{928BE8B4-FD33-4EA2-8CAE-BCD10D360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14</xdr:row>
      <xdr:rowOff>19051</xdr:rowOff>
    </xdr:from>
    <xdr:to>
      <xdr:col>14</xdr:col>
      <xdr:colOff>19050</xdr:colOff>
      <xdr:row>25</xdr:row>
      <xdr:rowOff>28575</xdr:rowOff>
    </xdr:to>
    <xdr:graphicFrame macro="">
      <xdr:nvGraphicFramePr>
        <xdr:cNvPr id="5" name="Chart 4">
          <a:extLst>
            <a:ext uri="{FF2B5EF4-FFF2-40B4-BE49-F238E27FC236}">
              <a16:creationId xmlns:a16="http://schemas.microsoft.com/office/drawing/2014/main" id="{6640E23E-1BAA-41E5-9EDD-3F0FD14BE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228600</xdr:colOff>
      <xdr:row>3</xdr:row>
      <xdr:rowOff>19050</xdr:rowOff>
    </xdr:from>
    <xdr:to>
      <xdr:col>14</xdr:col>
      <xdr:colOff>19050</xdr:colOff>
      <xdr:row>14</xdr:row>
      <xdr:rowOff>9525</xdr:rowOff>
    </xdr:to>
    <xdr:graphicFrame macro="">
      <xdr:nvGraphicFramePr>
        <xdr:cNvPr id="7" name="Chart 6">
          <a:extLst>
            <a:ext uri="{FF2B5EF4-FFF2-40B4-BE49-F238E27FC236}">
              <a16:creationId xmlns:a16="http://schemas.microsoft.com/office/drawing/2014/main" id="{CE8DCCFA-8927-46D8-B880-A9EB4F1D2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95250</xdr:colOff>
      <xdr:row>0</xdr:row>
      <xdr:rowOff>47626</xdr:rowOff>
    </xdr:from>
    <xdr:to>
      <xdr:col>17</xdr:col>
      <xdr:colOff>95250</xdr:colOff>
      <xdr:row>4</xdr:row>
      <xdr:rowOff>161926</xdr:rowOff>
    </xdr:to>
    <mc:AlternateContent xmlns:mc="http://schemas.openxmlformats.org/markup-compatibility/2006" xmlns:a14="http://schemas.microsoft.com/office/drawing/2010/main">
      <mc:Choice Requires="a14">
        <xdr:graphicFrame macro="">
          <xdr:nvGraphicFramePr>
            <xdr:cNvPr id="8" name="Marriedarital Singletatus">
              <a:extLst>
                <a:ext uri="{FF2B5EF4-FFF2-40B4-BE49-F238E27FC236}">
                  <a16:creationId xmlns:a16="http://schemas.microsoft.com/office/drawing/2014/main" id="{5BE5B1D7-FF23-45FA-85B2-ACDE1CBAE1C4}"/>
                </a:ext>
              </a:extLst>
            </xdr:cNvPr>
            <xdr:cNvGraphicFramePr/>
          </xdr:nvGraphicFramePr>
          <xdr:xfrm>
            <a:off x="0" y="0"/>
            <a:ext cx="0" cy="0"/>
          </xdr:xfrm>
          <a:graphic>
            <a:graphicData uri="http://schemas.microsoft.com/office/drawing/2010/slicer">
              <sle:slicer xmlns:sle="http://schemas.microsoft.com/office/drawing/2010/slicer" name="Marriedarital Singletatus"/>
            </a:graphicData>
          </a:graphic>
        </xdr:graphicFrame>
      </mc:Choice>
      <mc:Fallback xmlns="">
        <xdr:sp macro="" textlink="">
          <xdr:nvSpPr>
            <xdr:cNvPr id="0" name=""/>
            <xdr:cNvSpPr>
              <a:spLocks noTextEdit="1"/>
            </xdr:cNvSpPr>
          </xdr:nvSpPr>
          <xdr:spPr>
            <a:xfrm>
              <a:off x="8642350" y="47626"/>
              <a:ext cx="1828800" cy="87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142875</xdr:colOff>
      <xdr:row>10</xdr:row>
      <xdr:rowOff>180975</xdr:rowOff>
    </xdr:from>
    <xdr:to>
      <xdr:col>17</xdr:col>
      <xdr:colOff>142875</xdr:colOff>
      <xdr:row>19</xdr:row>
      <xdr:rowOff>114300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A31E667D-7657-4ED7-AC61-25FE46CACD6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689975" y="2085975"/>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114300</xdr:colOff>
      <xdr:row>5</xdr:row>
      <xdr:rowOff>0</xdr:rowOff>
    </xdr:from>
    <xdr:to>
      <xdr:col>17</xdr:col>
      <xdr:colOff>114300</xdr:colOff>
      <xdr:row>10</xdr:row>
      <xdr:rowOff>161925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5F0BE36C-B54A-4AC1-BBAE-8215C4CC6B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61400" y="952500"/>
              <a:ext cx="1828800" cy="1114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2.82441828704" createdVersion="7" refreshedVersion="7" minRefreshableVersion="3" recordCount="1000" xr:uid="{1A738E46-5B8A-43BD-8F8A-ECD8C887F9DA}">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4190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8FC104-4BC1-4B16-BB8A-FF56CEC7414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5:D39"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E079B3-1FDC-4E7A-9B82-89FB9A25CB1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0: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sortType="ascending">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39EDD5-6B96-4CCA-97FE-6EBB2D70703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 xr10:uid="{8025200E-2D45-4820-82E5-47A85D8933C7}" sourceName="Marriedarital Singletatus">
  <pivotTables>
    <pivotTable tabId="3" name="PivotTable1"/>
    <pivotTable tabId="3" name="PivotTable2"/>
    <pivotTable tabId="3" name="PivotTable3"/>
  </pivotTables>
  <data>
    <tabular pivotCacheId="6419039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6EBA573-0D44-416A-A71F-DC58E16FD6EB}" sourceName="Education">
  <pivotTables>
    <pivotTable tabId="3" name="PivotTable1"/>
    <pivotTable tabId="3" name="PivotTable2"/>
    <pivotTable tabId="3" name="PivotTable3"/>
  </pivotTables>
  <data>
    <tabular pivotCacheId="64190397">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2FF8B9-E549-493D-A7D8-A4BCE314C4EE}" sourceName="Region">
  <pivotTables>
    <pivotTable tabId="3" name="PivotTable1"/>
    <pivotTable tabId="3" name="PivotTable2"/>
    <pivotTable tabId="3" name="PivotTable3"/>
  </pivotTables>
  <data>
    <tabular pivotCacheId="64190397">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 xr10:uid="{04DA391B-6CE2-4C92-A489-808F4B5DEEB2}" cache="Slicer_Marriedarital_Singletatus" caption="Marriedarital Singletatus" rowHeight="241300"/>
  <slicer name="Education" xr10:uid="{435FB970-D5B6-43D2-9E49-31941DD45BB3}" cache="Slicer_Education" caption="Education" rowHeight="241300"/>
  <slicer name="Region" xr10:uid="{32BD8C0D-5948-4653-8D74-25EC58682CE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I11" sqref="I11"/>
    </sheetView>
  </sheetViews>
  <sheetFormatPr defaultColWidth="11.85546875" defaultRowHeight="15" x14ac:dyDescent="0.25"/>
  <cols>
    <col min="6" max="6" width="17.7109375"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5D482-6BFA-43C7-AA5F-BC52EB01D1FB}">
  <dimension ref="A1:N1001"/>
  <sheetViews>
    <sheetView topLeftCell="D1" workbookViewId="0">
      <selection activeCell="M2" sqref="M2:M1001"/>
    </sheetView>
  </sheetViews>
  <sheetFormatPr defaultRowHeight="15" x14ac:dyDescent="0.25"/>
  <cols>
    <col min="2" max="2" width="15.5703125" bestFit="1" customWidth="1"/>
    <col min="3" max="3" width="9.85546875" bestFit="1" customWidth="1"/>
    <col min="4" max="4" width="11.140625" style="3" bestFit="1" customWidth="1"/>
    <col min="5" max="5" width="10.85546875" bestFit="1" customWidth="1"/>
    <col min="6" max="6" width="17.7109375" bestFit="1" customWidth="1"/>
    <col min="7" max="7" width="14.140625" bestFit="1" customWidth="1"/>
    <col min="8" max="8" width="15" bestFit="1" customWidth="1"/>
    <col min="10" max="10" width="20.28515625" bestFit="1" customWidth="1"/>
    <col min="11" max="11" width="14" bestFit="1" customWidth="1"/>
    <col min="13" max="13" width="16.140625" bestFit="1" customWidth="1"/>
    <col min="14" max="14" width="16.85546875" bestFit="1" customWidth="1"/>
  </cols>
  <sheetData>
    <row r="1" spans="1:14" x14ac:dyDescent="0.25">
      <c r="A1" t="s">
        <v>0</v>
      </c>
      <c r="B1" t="s">
        <v>38</v>
      </c>
      <c r="C1" t="s">
        <v>2</v>
      </c>
      <c r="D1" s="3" t="s">
        <v>3</v>
      </c>
      <c r="E1" t="s">
        <v>4</v>
      </c>
      <c r="F1" t="s">
        <v>5</v>
      </c>
      <c r="G1" t="s">
        <v>6</v>
      </c>
      <c r="H1" t="s">
        <v>7</v>
      </c>
      <c r="I1" t="s">
        <v>8</v>
      </c>
      <c r="J1" t="s">
        <v>9</v>
      </c>
      <c r="K1" t="s">
        <v>10</v>
      </c>
      <c r="L1" t="s">
        <v>11</v>
      </c>
      <c r="M1" t="s">
        <v>41</v>
      </c>
      <c r="N1" t="s">
        <v>12</v>
      </c>
    </row>
    <row r="2" spans="1:14" x14ac:dyDescent="0.25">
      <c r="A2">
        <v>12496</v>
      </c>
      <c r="B2" t="s">
        <v>36</v>
      </c>
      <c r="C2" t="s">
        <v>39</v>
      </c>
      <c r="D2" s="3">
        <v>40000</v>
      </c>
      <c r="E2">
        <v>1</v>
      </c>
      <c r="F2" t="s">
        <v>13</v>
      </c>
      <c r="G2" t="s">
        <v>14</v>
      </c>
      <c r="H2" t="s">
        <v>15</v>
      </c>
      <c r="I2">
        <v>0</v>
      </c>
      <c r="J2" t="s">
        <v>16</v>
      </c>
      <c r="K2" t="s">
        <v>17</v>
      </c>
      <c r="L2">
        <v>42</v>
      </c>
      <c r="M2" t="str">
        <f>IF(L2&gt;55,"Old 55+",IF(L2&gt;=31,"Middle age 31-54",IF(L2&lt;31,"Adolescent 0-30","Invalid")))</f>
        <v>Middle age 31-54</v>
      </c>
      <c r="N2" t="s">
        <v>18</v>
      </c>
    </row>
    <row r="3" spans="1:14" x14ac:dyDescent="0.25">
      <c r="A3">
        <v>24107</v>
      </c>
      <c r="B3" t="s">
        <v>36</v>
      </c>
      <c r="C3" t="s">
        <v>40</v>
      </c>
      <c r="D3" s="3">
        <v>30000</v>
      </c>
      <c r="E3">
        <v>3</v>
      </c>
      <c r="F3" t="s">
        <v>19</v>
      </c>
      <c r="G3" t="s">
        <v>20</v>
      </c>
      <c r="H3" t="s">
        <v>15</v>
      </c>
      <c r="I3">
        <v>1</v>
      </c>
      <c r="J3" t="s">
        <v>16</v>
      </c>
      <c r="K3" t="s">
        <v>17</v>
      </c>
      <c r="L3">
        <v>43</v>
      </c>
      <c r="M3" t="str">
        <f t="shared" ref="M3:M66" si="0">IF(L3&gt;55,"Old 55+",IF(L3&gt;=31,"Middle age 31-54",IF(L3&lt;31,"Adolescent 0-30","Invalid")))</f>
        <v>Middle age 31-54</v>
      </c>
      <c r="N3" t="s">
        <v>18</v>
      </c>
    </row>
    <row r="4" spans="1:14" x14ac:dyDescent="0.25">
      <c r="A4">
        <v>14177</v>
      </c>
      <c r="B4" t="s">
        <v>36</v>
      </c>
      <c r="C4" t="s">
        <v>40</v>
      </c>
      <c r="D4" s="3">
        <v>80000</v>
      </c>
      <c r="E4">
        <v>5</v>
      </c>
      <c r="F4" t="s">
        <v>19</v>
      </c>
      <c r="G4" t="s">
        <v>21</v>
      </c>
      <c r="H4" t="s">
        <v>18</v>
      </c>
      <c r="I4">
        <v>2</v>
      </c>
      <c r="J4" t="s">
        <v>22</v>
      </c>
      <c r="K4" t="s">
        <v>17</v>
      </c>
      <c r="L4">
        <v>60</v>
      </c>
      <c r="M4" t="str">
        <f t="shared" si="0"/>
        <v>Old 55+</v>
      </c>
      <c r="N4" t="s">
        <v>18</v>
      </c>
    </row>
    <row r="5" spans="1:14" x14ac:dyDescent="0.25">
      <c r="A5">
        <v>24381</v>
      </c>
      <c r="B5" t="s">
        <v>37</v>
      </c>
      <c r="C5" t="s">
        <v>40</v>
      </c>
      <c r="D5" s="3">
        <v>70000</v>
      </c>
      <c r="E5">
        <v>0</v>
      </c>
      <c r="F5" t="s">
        <v>13</v>
      </c>
      <c r="G5" t="s">
        <v>21</v>
      </c>
      <c r="H5" t="s">
        <v>15</v>
      </c>
      <c r="I5">
        <v>1</v>
      </c>
      <c r="J5" t="s">
        <v>23</v>
      </c>
      <c r="K5" t="s">
        <v>24</v>
      </c>
      <c r="L5">
        <v>41</v>
      </c>
      <c r="M5" t="str">
        <f t="shared" si="0"/>
        <v>Middle age 31-54</v>
      </c>
      <c r="N5" t="s">
        <v>15</v>
      </c>
    </row>
    <row r="6" spans="1:14" x14ac:dyDescent="0.25">
      <c r="A6">
        <v>25597</v>
      </c>
      <c r="B6" t="s">
        <v>37</v>
      </c>
      <c r="C6" t="s">
        <v>40</v>
      </c>
      <c r="D6" s="3">
        <v>30000</v>
      </c>
      <c r="E6">
        <v>0</v>
      </c>
      <c r="F6" t="s">
        <v>13</v>
      </c>
      <c r="G6" t="s">
        <v>20</v>
      </c>
      <c r="H6" t="s">
        <v>18</v>
      </c>
      <c r="I6">
        <v>0</v>
      </c>
      <c r="J6" t="s">
        <v>16</v>
      </c>
      <c r="K6" t="s">
        <v>17</v>
      </c>
      <c r="L6">
        <v>36</v>
      </c>
      <c r="M6" t="str">
        <f t="shared" si="0"/>
        <v>Middle age 31-54</v>
      </c>
      <c r="N6" t="s">
        <v>15</v>
      </c>
    </row>
    <row r="7" spans="1:14" x14ac:dyDescent="0.25">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25">
      <c r="A8">
        <v>27974</v>
      </c>
      <c r="B8" t="s">
        <v>37</v>
      </c>
      <c r="C8" t="s">
        <v>40</v>
      </c>
      <c r="D8" s="3">
        <v>160000</v>
      </c>
      <c r="E8">
        <v>2</v>
      </c>
      <c r="F8" t="s">
        <v>27</v>
      </c>
      <c r="G8" t="s">
        <v>28</v>
      </c>
      <c r="H8" t="s">
        <v>15</v>
      </c>
      <c r="I8">
        <v>4</v>
      </c>
      <c r="J8" t="s">
        <v>16</v>
      </c>
      <c r="K8" t="s">
        <v>24</v>
      </c>
      <c r="L8">
        <v>33</v>
      </c>
      <c r="M8" t="str">
        <f t="shared" si="0"/>
        <v>Middle age 31-54</v>
      </c>
      <c r="N8" t="s">
        <v>15</v>
      </c>
    </row>
    <row r="9" spans="1:14" x14ac:dyDescent="0.25">
      <c r="A9">
        <v>19364</v>
      </c>
      <c r="B9" t="s">
        <v>36</v>
      </c>
      <c r="C9" t="s">
        <v>40</v>
      </c>
      <c r="D9" s="3">
        <v>40000</v>
      </c>
      <c r="E9">
        <v>1</v>
      </c>
      <c r="F9" t="s">
        <v>13</v>
      </c>
      <c r="G9" t="s">
        <v>14</v>
      </c>
      <c r="H9" t="s">
        <v>15</v>
      </c>
      <c r="I9">
        <v>0</v>
      </c>
      <c r="J9" t="s">
        <v>16</v>
      </c>
      <c r="K9" t="s">
        <v>17</v>
      </c>
      <c r="L9">
        <v>43</v>
      </c>
      <c r="M9" t="str">
        <f t="shared" si="0"/>
        <v>Middle age 31-54</v>
      </c>
      <c r="N9" t="s">
        <v>15</v>
      </c>
    </row>
    <row r="10" spans="1:14" x14ac:dyDescent="0.25">
      <c r="A10">
        <v>22155</v>
      </c>
      <c r="B10" t="s">
        <v>36</v>
      </c>
      <c r="C10" t="s">
        <v>40</v>
      </c>
      <c r="D10" s="3">
        <v>20000</v>
      </c>
      <c r="E10">
        <v>2</v>
      </c>
      <c r="F10" t="s">
        <v>29</v>
      </c>
      <c r="G10" t="s">
        <v>20</v>
      </c>
      <c r="H10" t="s">
        <v>15</v>
      </c>
      <c r="I10">
        <v>2</v>
      </c>
      <c r="J10" t="s">
        <v>23</v>
      </c>
      <c r="K10" t="s">
        <v>24</v>
      </c>
      <c r="L10">
        <v>58</v>
      </c>
      <c r="M10" t="str">
        <f t="shared" si="0"/>
        <v>Old 55+</v>
      </c>
      <c r="N10" t="s">
        <v>18</v>
      </c>
    </row>
    <row r="11" spans="1:14" x14ac:dyDescent="0.25">
      <c r="A11">
        <v>19280</v>
      </c>
      <c r="B11" t="s">
        <v>36</v>
      </c>
      <c r="C11" t="s">
        <v>40</v>
      </c>
      <c r="D11" s="3">
        <v>120000</v>
      </c>
      <c r="E11">
        <v>2</v>
      </c>
      <c r="F11" t="s">
        <v>19</v>
      </c>
      <c r="G11" t="s">
        <v>25</v>
      </c>
      <c r="H11" t="s">
        <v>15</v>
      </c>
      <c r="I11">
        <v>1</v>
      </c>
      <c r="J11" t="s">
        <v>16</v>
      </c>
      <c r="K11" t="s">
        <v>17</v>
      </c>
      <c r="L11">
        <v>40</v>
      </c>
      <c r="M11" t="str">
        <f t="shared" si="0"/>
        <v>Middle age 31-54</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25">
      <c r="A13">
        <v>12697</v>
      </c>
      <c r="B13" t="s">
        <v>37</v>
      </c>
      <c r="C13" t="s">
        <v>39</v>
      </c>
      <c r="D13" s="3">
        <v>90000</v>
      </c>
      <c r="E13">
        <v>0</v>
      </c>
      <c r="F13" t="s">
        <v>13</v>
      </c>
      <c r="G13" t="s">
        <v>21</v>
      </c>
      <c r="H13" t="s">
        <v>18</v>
      </c>
      <c r="I13">
        <v>4</v>
      </c>
      <c r="J13" t="s">
        <v>47</v>
      </c>
      <c r="K13" t="s">
        <v>24</v>
      </c>
      <c r="L13">
        <v>36</v>
      </c>
      <c r="M13" t="str">
        <f t="shared" si="0"/>
        <v>Middle age 31-54</v>
      </c>
      <c r="N13" t="s">
        <v>18</v>
      </c>
    </row>
    <row r="14" spans="1:14" x14ac:dyDescent="0.25">
      <c r="A14">
        <v>11434</v>
      </c>
      <c r="B14" t="s">
        <v>36</v>
      </c>
      <c r="C14" t="s">
        <v>40</v>
      </c>
      <c r="D14" s="3">
        <v>170000</v>
      </c>
      <c r="E14">
        <v>5</v>
      </c>
      <c r="F14" t="s">
        <v>19</v>
      </c>
      <c r="G14" t="s">
        <v>21</v>
      </c>
      <c r="H14" t="s">
        <v>15</v>
      </c>
      <c r="I14">
        <v>0</v>
      </c>
      <c r="J14" t="s">
        <v>16</v>
      </c>
      <c r="K14" t="s">
        <v>17</v>
      </c>
      <c r="L14">
        <v>55</v>
      </c>
      <c r="M14" t="str">
        <f t="shared" si="0"/>
        <v>Middle age 31-54</v>
      </c>
      <c r="N14" t="s">
        <v>18</v>
      </c>
    </row>
    <row r="15" spans="1:14" x14ac:dyDescent="0.25">
      <c r="A15">
        <v>25323</v>
      </c>
      <c r="B15" t="s">
        <v>36</v>
      </c>
      <c r="C15" t="s">
        <v>40</v>
      </c>
      <c r="D15" s="3">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40</v>
      </c>
      <c r="D16" s="3">
        <v>60000</v>
      </c>
      <c r="E16">
        <v>1</v>
      </c>
      <c r="F16" t="s">
        <v>19</v>
      </c>
      <c r="G16" t="s">
        <v>14</v>
      </c>
      <c r="H16" t="s">
        <v>18</v>
      </c>
      <c r="I16">
        <v>1</v>
      </c>
      <c r="J16" t="s">
        <v>16</v>
      </c>
      <c r="K16" t="s">
        <v>24</v>
      </c>
      <c r="L16">
        <v>45</v>
      </c>
      <c r="M16" t="str">
        <f t="shared" si="0"/>
        <v>Middle age 31-54</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25">
      <c r="A18">
        <v>23316</v>
      </c>
      <c r="B18" t="s">
        <v>37</v>
      </c>
      <c r="C18" t="s">
        <v>40</v>
      </c>
      <c r="D18" s="3">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40</v>
      </c>
      <c r="D20" s="3">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40</v>
      </c>
      <c r="D21" s="3">
        <v>20000</v>
      </c>
      <c r="E21">
        <v>2</v>
      </c>
      <c r="F21" t="s">
        <v>29</v>
      </c>
      <c r="G21" t="s">
        <v>20</v>
      </c>
      <c r="H21" t="s">
        <v>15</v>
      </c>
      <c r="I21">
        <v>2</v>
      </c>
      <c r="J21" t="s">
        <v>23</v>
      </c>
      <c r="K21" t="s">
        <v>24</v>
      </c>
      <c r="L21">
        <v>55</v>
      </c>
      <c r="M21" t="str">
        <f t="shared" si="0"/>
        <v>Middle age 31-54</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39</v>
      </c>
      <c r="D23" s="3">
        <v>80000</v>
      </c>
      <c r="E23">
        <v>0</v>
      </c>
      <c r="F23" t="s">
        <v>13</v>
      </c>
      <c r="G23" t="s">
        <v>21</v>
      </c>
      <c r="H23" t="s">
        <v>15</v>
      </c>
      <c r="I23">
        <v>4</v>
      </c>
      <c r="J23" t="s">
        <v>47</v>
      </c>
      <c r="K23" t="s">
        <v>24</v>
      </c>
      <c r="L23">
        <v>35</v>
      </c>
      <c r="M23" t="str">
        <f t="shared" si="0"/>
        <v>Middle age 31-54</v>
      </c>
      <c r="N23" t="s">
        <v>18</v>
      </c>
    </row>
    <row r="24" spans="1:14" x14ac:dyDescent="0.25">
      <c r="A24">
        <v>19193</v>
      </c>
      <c r="B24" t="s">
        <v>37</v>
      </c>
      <c r="C24" t="s">
        <v>40</v>
      </c>
      <c r="D24" s="3">
        <v>40000</v>
      </c>
      <c r="E24">
        <v>2</v>
      </c>
      <c r="F24" t="s">
        <v>19</v>
      </c>
      <c r="G24" t="s">
        <v>20</v>
      </c>
      <c r="H24" t="s">
        <v>15</v>
      </c>
      <c r="I24">
        <v>0</v>
      </c>
      <c r="J24" t="s">
        <v>26</v>
      </c>
      <c r="K24" t="s">
        <v>17</v>
      </c>
      <c r="L24">
        <v>35</v>
      </c>
      <c r="M24" t="str">
        <f t="shared" si="0"/>
        <v>Middle age 31-54</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25">
      <c r="A26">
        <v>27184</v>
      </c>
      <c r="B26" t="s">
        <v>37</v>
      </c>
      <c r="C26" t="s">
        <v>40</v>
      </c>
      <c r="D26" s="3">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40</v>
      </c>
      <c r="D27" s="3">
        <v>30000</v>
      </c>
      <c r="E27">
        <v>1</v>
      </c>
      <c r="F27" t="s">
        <v>13</v>
      </c>
      <c r="G27" t="s">
        <v>20</v>
      </c>
      <c r="H27" t="s">
        <v>15</v>
      </c>
      <c r="I27">
        <v>0</v>
      </c>
      <c r="J27" t="s">
        <v>16</v>
      </c>
      <c r="K27" t="s">
        <v>17</v>
      </c>
      <c r="L27">
        <v>63</v>
      </c>
      <c r="M27" t="str">
        <f t="shared" si="0"/>
        <v>Old 55+</v>
      </c>
      <c r="N27" t="s">
        <v>18</v>
      </c>
    </row>
    <row r="28" spans="1:14" x14ac:dyDescent="0.25">
      <c r="A28">
        <v>17841</v>
      </c>
      <c r="B28" t="s">
        <v>37</v>
      </c>
      <c r="C28" t="s">
        <v>40</v>
      </c>
      <c r="D28" s="3">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25">
      <c r="A30">
        <v>18299</v>
      </c>
      <c r="B30" t="s">
        <v>36</v>
      </c>
      <c r="C30" t="s">
        <v>40</v>
      </c>
      <c r="D30" s="3">
        <v>70000</v>
      </c>
      <c r="E30">
        <v>5</v>
      </c>
      <c r="F30" t="s">
        <v>19</v>
      </c>
      <c r="G30" t="s">
        <v>14</v>
      </c>
      <c r="H30" t="s">
        <v>15</v>
      </c>
      <c r="I30">
        <v>2</v>
      </c>
      <c r="J30" t="s">
        <v>23</v>
      </c>
      <c r="K30" t="s">
        <v>24</v>
      </c>
      <c r="L30">
        <v>44</v>
      </c>
      <c r="M30" t="str">
        <f t="shared" si="0"/>
        <v>Middle age 31-54</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25">
      <c r="A33">
        <v>22400</v>
      </c>
      <c r="B33" t="s">
        <v>36</v>
      </c>
      <c r="C33" t="s">
        <v>40</v>
      </c>
      <c r="D33" s="3">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25">
      <c r="A35">
        <v>18484</v>
      </c>
      <c r="B35" t="s">
        <v>37</v>
      </c>
      <c r="C35" t="s">
        <v>40</v>
      </c>
      <c r="D35" s="3">
        <v>80000</v>
      </c>
      <c r="E35">
        <v>2</v>
      </c>
      <c r="F35" t="s">
        <v>27</v>
      </c>
      <c r="G35" t="s">
        <v>14</v>
      </c>
      <c r="H35" t="s">
        <v>18</v>
      </c>
      <c r="I35">
        <v>2</v>
      </c>
      <c r="J35" t="s">
        <v>26</v>
      </c>
      <c r="K35" t="s">
        <v>24</v>
      </c>
      <c r="L35">
        <v>50</v>
      </c>
      <c r="M35" t="str">
        <f t="shared" si="0"/>
        <v>Middle age 31-54</v>
      </c>
      <c r="N35" t="s">
        <v>15</v>
      </c>
    </row>
    <row r="36" spans="1:14" x14ac:dyDescent="0.25">
      <c r="A36">
        <v>12291</v>
      </c>
      <c r="B36" t="s">
        <v>37</v>
      </c>
      <c r="C36" t="s">
        <v>40</v>
      </c>
      <c r="D36" s="3">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40</v>
      </c>
      <c r="D40" s="3">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25">
      <c r="A50">
        <v>19487</v>
      </c>
      <c r="B50" t="s">
        <v>36</v>
      </c>
      <c r="C50" t="s">
        <v>40</v>
      </c>
      <c r="D50" s="3">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40</v>
      </c>
      <c r="D51" s="3">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40</v>
      </c>
      <c r="D53" s="3">
        <v>80000</v>
      </c>
      <c r="E53">
        <v>0</v>
      </c>
      <c r="F53" t="s">
        <v>13</v>
      </c>
      <c r="G53" t="s">
        <v>21</v>
      </c>
      <c r="H53" t="s">
        <v>18</v>
      </c>
      <c r="I53">
        <v>4</v>
      </c>
      <c r="J53" t="s">
        <v>47</v>
      </c>
      <c r="K53" t="s">
        <v>24</v>
      </c>
      <c r="L53">
        <v>35</v>
      </c>
      <c r="M53" t="str">
        <f t="shared" si="0"/>
        <v>Middle age 31-54</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25">
      <c r="A57">
        <v>28906</v>
      </c>
      <c r="B57" t="s">
        <v>36</v>
      </c>
      <c r="C57" t="s">
        <v>40</v>
      </c>
      <c r="D57" s="3">
        <v>80000</v>
      </c>
      <c r="E57">
        <v>4</v>
      </c>
      <c r="F57" t="s">
        <v>27</v>
      </c>
      <c r="G57" t="s">
        <v>21</v>
      </c>
      <c r="H57" t="s">
        <v>15</v>
      </c>
      <c r="I57">
        <v>2</v>
      </c>
      <c r="J57" t="s">
        <v>47</v>
      </c>
      <c r="K57" t="s">
        <v>17</v>
      </c>
      <c r="L57">
        <v>54</v>
      </c>
      <c r="M57" t="str">
        <f t="shared" si="0"/>
        <v>Middle age 31-54</v>
      </c>
      <c r="N57" t="s">
        <v>18</v>
      </c>
    </row>
    <row r="58" spans="1:14" x14ac:dyDescent="0.25">
      <c r="A58">
        <v>12808</v>
      </c>
      <c r="B58" t="s">
        <v>36</v>
      </c>
      <c r="C58" t="s">
        <v>40</v>
      </c>
      <c r="D58" s="3">
        <v>40000</v>
      </c>
      <c r="E58">
        <v>0</v>
      </c>
      <c r="F58" t="s">
        <v>13</v>
      </c>
      <c r="G58" t="s">
        <v>20</v>
      </c>
      <c r="H58" t="s">
        <v>15</v>
      </c>
      <c r="I58">
        <v>0</v>
      </c>
      <c r="J58" t="s">
        <v>16</v>
      </c>
      <c r="K58" t="s">
        <v>17</v>
      </c>
      <c r="L58">
        <v>38</v>
      </c>
      <c r="M58" t="str">
        <f t="shared" si="0"/>
        <v>Middle age 31-54</v>
      </c>
      <c r="N58" t="s">
        <v>15</v>
      </c>
    </row>
    <row r="59" spans="1:14" x14ac:dyDescent="0.25">
      <c r="A59">
        <v>20567</v>
      </c>
      <c r="B59" t="s">
        <v>36</v>
      </c>
      <c r="C59" t="s">
        <v>40</v>
      </c>
      <c r="D59" s="3">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25">
      <c r="A61">
        <v>15580</v>
      </c>
      <c r="B61" t="s">
        <v>36</v>
      </c>
      <c r="C61" t="s">
        <v>40</v>
      </c>
      <c r="D61" s="3">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25">
      <c r="A64">
        <v>16713</v>
      </c>
      <c r="B64" t="s">
        <v>36</v>
      </c>
      <c r="C64" t="s">
        <v>40</v>
      </c>
      <c r="D64" s="3">
        <v>40000</v>
      </c>
      <c r="E64">
        <v>2</v>
      </c>
      <c r="F64" t="s">
        <v>13</v>
      </c>
      <c r="G64" t="s">
        <v>28</v>
      </c>
      <c r="H64" t="s">
        <v>15</v>
      </c>
      <c r="I64">
        <v>1</v>
      </c>
      <c r="J64" t="s">
        <v>16</v>
      </c>
      <c r="K64" t="s">
        <v>24</v>
      </c>
      <c r="L64">
        <v>52</v>
      </c>
      <c r="M64" t="str">
        <f t="shared" si="0"/>
        <v>Middle age 31-54</v>
      </c>
      <c r="N64" t="s">
        <v>15</v>
      </c>
    </row>
    <row r="65" spans="1:14" x14ac:dyDescent="0.25">
      <c r="A65">
        <v>16185</v>
      </c>
      <c r="B65" t="s">
        <v>37</v>
      </c>
      <c r="C65" t="s">
        <v>40</v>
      </c>
      <c r="D65" s="3">
        <v>60000</v>
      </c>
      <c r="E65">
        <v>4</v>
      </c>
      <c r="F65" t="s">
        <v>13</v>
      </c>
      <c r="G65" t="s">
        <v>21</v>
      </c>
      <c r="H65" t="s">
        <v>15</v>
      </c>
      <c r="I65">
        <v>3</v>
      </c>
      <c r="J65" t="s">
        <v>47</v>
      </c>
      <c r="K65" t="s">
        <v>24</v>
      </c>
      <c r="L65">
        <v>41</v>
      </c>
      <c r="M65" t="str">
        <f t="shared" si="0"/>
        <v>Middle age 31-54</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40</v>
      </c>
      <c r="D67" s="3">
        <v>30000</v>
      </c>
      <c r="E67">
        <v>2</v>
      </c>
      <c r="F67" t="s">
        <v>19</v>
      </c>
      <c r="G67" t="s">
        <v>20</v>
      </c>
      <c r="H67" t="s">
        <v>15</v>
      </c>
      <c r="I67">
        <v>2</v>
      </c>
      <c r="J67" t="s">
        <v>23</v>
      </c>
      <c r="K67" t="s">
        <v>24</v>
      </c>
      <c r="L67">
        <v>68</v>
      </c>
      <c r="M67" t="str">
        <f t="shared" ref="M67:M130" si="1">IF(L67&gt;55,"Old 55+",IF(L67&gt;=31,"Middle age 31-54",IF(L67&lt;31,"Adolescent 0-30","Invalid")))</f>
        <v>Old 55+</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25">
      <c r="A69">
        <v>25303</v>
      </c>
      <c r="B69" t="s">
        <v>37</v>
      </c>
      <c r="C69" t="s">
        <v>40</v>
      </c>
      <c r="D69" s="3">
        <v>30000</v>
      </c>
      <c r="E69">
        <v>0</v>
      </c>
      <c r="F69" t="s">
        <v>27</v>
      </c>
      <c r="G69" t="s">
        <v>25</v>
      </c>
      <c r="H69" t="s">
        <v>15</v>
      </c>
      <c r="I69">
        <v>1</v>
      </c>
      <c r="J69" t="s">
        <v>22</v>
      </c>
      <c r="K69" t="s">
        <v>17</v>
      </c>
      <c r="L69">
        <v>33</v>
      </c>
      <c r="M69" t="str">
        <f t="shared" si="1"/>
        <v>Middle age 31-54</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40</v>
      </c>
      <c r="D72" s="3">
        <v>120000</v>
      </c>
      <c r="E72">
        <v>0</v>
      </c>
      <c r="F72" t="s">
        <v>29</v>
      </c>
      <c r="G72" t="s">
        <v>21</v>
      </c>
      <c r="H72" t="s">
        <v>15</v>
      </c>
      <c r="I72">
        <v>4</v>
      </c>
      <c r="J72" t="s">
        <v>47</v>
      </c>
      <c r="K72" t="s">
        <v>24</v>
      </c>
      <c r="L72">
        <v>36</v>
      </c>
      <c r="M72" t="str">
        <f t="shared" si="1"/>
        <v>Middle age 31-54</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40</v>
      </c>
      <c r="D79" s="3">
        <v>80000</v>
      </c>
      <c r="E79">
        <v>0</v>
      </c>
      <c r="F79" t="s">
        <v>13</v>
      </c>
      <c r="G79" t="s">
        <v>21</v>
      </c>
      <c r="H79" t="s">
        <v>15</v>
      </c>
      <c r="I79">
        <v>2</v>
      </c>
      <c r="J79" t="s">
        <v>47</v>
      </c>
      <c r="K79" t="s">
        <v>24</v>
      </c>
      <c r="L79">
        <v>29</v>
      </c>
      <c r="M79" t="str">
        <f t="shared" si="1"/>
        <v>Adolescent 0-30</v>
      </c>
      <c r="N79" t="s">
        <v>15</v>
      </c>
    </row>
    <row r="80" spans="1:14" x14ac:dyDescent="0.25">
      <c r="A80">
        <v>15752</v>
      </c>
      <c r="B80" t="s">
        <v>36</v>
      </c>
      <c r="C80" t="s">
        <v>40</v>
      </c>
      <c r="D80" s="3">
        <v>80000</v>
      </c>
      <c r="E80">
        <v>2</v>
      </c>
      <c r="F80" t="s">
        <v>27</v>
      </c>
      <c r="G80" t="s">
        <v>14</v>
      </c>
      <c r="H80" t="s">
        <v>18</v>
      </c>
      <c r="I80">
        <v>2</v>
      </c>
      <c r="J80" t="s">
        <v>26</v>
      </c>
      <c r="K80" t="s">
        <v>24</v>
      </c>
      <c r="L80">
        <v>50</v>
      </c>
      <c r="M80" t="str">
        <f t="shared" si="1"/>
        <v>Middle age 31-54</v>
      </c>
      <c r="N80" t="s">
        <v>15</v>
      </c>
    </row>
    <row r="81" spans="1:14" x14ac:dyDescent="0.25">
      <c r="A81">
        <v>27745</v>
      </c>
      <c r="B81" t="s">
        <v>37</v>
      </c>
      <c r="C81" t="s">
        <v>40</v>
      </c>
      <c r="D81" s="3">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25">
      <c r="A84">
        <v>26941</v>
      </c>
      <c r="B84" t="s">
        <v>36</v>
      </c>
      <c r="C84" t="s">
        <v>40</v>
      </c>
      <c r="D84" s="3">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40</v>
      </c>
      <c r="D85" s="3">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40</v>
      </c>
      <c r="D86" s="3">
        <v>40000</v>
      </c>
      <c r="E86">
        <v>2</v>
      </c>
      <c r="F86" t="s">
        <v>13</v>
      </c>
      <c r="G86" t="s">
        <v>28</v>
      </c>
      <c r="H86" t="s">
        <v>18</v>
      </c>
      <c r="I86">
        <v>1</v>
      </c>
      <c r="J86" t="s">
        <v>23</v>
      </c>
      <c r="K86" t="s">
        <v>24</v>
      </c>
      <c r="L86">
        <v>52</v>
      </c>
      <c r="M86" t="str">
        <f t="shared" si="1"/>
        <v>Middle age 31-54</v>
      </c>
      <c r="N86" t="s">
        <v>15</v>
      </c>
    </row>
    <row r="87" spans="1:14" x14ac:dyDescent="0.25">
      <c r="A87">
        <v>16514</v>
      </c>
      <c r="B87" t="s">
        <v>37</v>
      </c>
      <c r="C87" t="s">
        <v>40</v>
      </c>
      <c r="D87" s="3">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40</v>
      </c>
      <c r="D88" s="3">
        <v>130000</v>
      </c>
      <c r="E88">
        <v>3</v>
      </c>
      <c r="F88" t="s">
        <v>19</v>
      </c>
      <c r="G88" t="s">
        <v>21</v>
      </c>
      <c r="H88" t="s">
        <v>18</v>
      </c>
      <c r="I88">
        <v>3</v>
      </c>
      <c r="J88" t="s">
        <v>16</v>
      </c>
      <c r="K88" t="s">
        <v>17</v>
      </c>
      <c r="L88">
        <v>51</v>
      </c>
      <c r="M88" t="str">
        <f t="shared" si="1"/>
        <v>Middle age 31-54</v>
      </c>
      <c r="N88" t="s">
        <v>15</v>
      </c>
    </row>
    <row r="89" spans="1:14" x14ac:dyDescent="0.25">
      <c r="A89">
        <v>19608</v>
      </c>
      <c r="B89" t="s">
        <v>36</v>
      </c>
      <c r="C89" t="s">
        <v>40</v>
      </c>
      <c r="D89" s="3">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40</v>
      </c>
      <c r="D90" s="3">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40</v>
      </c>
      <c r="D91" s="3">
        <v>20000</v>
      </c>
      <c r="E91">
        <v>1</v>
      </c>
      <c r="F91" t="s">
        <v>27</v>
      </c>
      <c r="G91" t="s">
        <v>25</v>
      </c>
      <c r="H91" t="s">
        <v>18</v>
      </c>
      <c r="I91">
        <v>1</v>
      </c>
      <c r="J91" t="s">
        <v>26</v>
      </c>
      <c r="K91" t="s">
        <v>17</v>
      </c>
      <c r="L91">
        <v>40</v>
      </c>
      <c r="M91" t="str">
        <f t="shared" si="1"/>
        <v>Middle age 31-54</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40</v>
      </c>
      <c r="D93" s="3">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 31-54</v>
      </c>
      <c r="N96" t="s">
        <v>18</v>
      </c>
    </row>
    <row r="97" spans="1:14" x14ac:dyDescent="0.25">
      <c r="A97">
        <v>17197</v>
      </c>
      <c r="B97" t="s">
        <v>37</v>
      </c>
      <c r="C97" t="s">
        <v>39</v>
      </c>
      <c r="D97" s="3">
        <v>90000</v>
      </c>
      <c r="E97">
        <v>5</v>
      </c>
      <c r="F97" t="s">
        <v>19</v>
      </c>
      <c r="G97" t="s">
        <v>21</v>
      </c>
      <c r="H97" t="s">
        <v>15</v>
      </c>
      <c r="I97">
        <v>2</v>
      </c>
      <c r="J97" t="s">
        <v>47</v>
      </c>
      <c r="K97" t="s">
        <v>17</v>
      </c>
      <c r="L97">
        <v>62</v>
      </c>
      <c r="M97" t="str">
        <f t="shared" si="1"/>
        <v>Old 55+</v>
      </c>
      <c r="N97" t="s">
        <v>18</v>
      </c>
    </row>
    <row r="98" spans="1:14" x14ac:dyDescent="0.25">
      <c r="A98">
        <v>12507</v>
      </c>
      <c r="B98" t="s">
        <v>36</v>
      </c>
      <c r="C98" t="s">
        <v>40</v>
      </c>
      <c r="D98" s="3">
        <v>30000</v>
      </c>
      <c r="E98">
        <v>1</v>
      </c>
      <c r="F98" t="s">
        <v>19</v>
      </c>
      <c r="G98" t="s">
        <v>20</v>
      </c>
      <c r="H98" t="s">
        <v>15</v>
      </c>
      <c r="I98">
        <v>1</v>
      </c>
      <c r="J98" t="s">
        <v>16</v>
      </c>
      <c r="K98" t="s">
        <v>17</v>
      </c>
      <c r="L98">
        <v>43</v>
      </c>
      <c r="M98" t="str">
        <f t="shared" si="1"/>
        <v>Middle age 31-54</v>
      </c>
      <c r="N98" t="s">
        <v>18</v>
      </c>
    </row>
    <row r="99" spans="1:14" x14ac:dyDescent="0.25">
      <c r="A99">
        <v>23940</v>
      </c>
      <c r="B99" t="s">
        <v>36</v>
      </c>
      <c r="C99" t="s">
        <v>40</v>
      </c>
      <c r="D99" s="3">
        <v>40000</v>
      </c>
      <c r="E99">
        <v>1</v>
      </c>
      <c r="F99" t="s">
        <v>13</v>
      </c>
      <c r="G99" t="s">
        <v>14</v>
      </c>
      <c r="H99" t="s">
        <v>15</v>
      </c>
      <c r="I99">
        <v>1</v>
      </c>
      <c r="J99" t="s">
        <v>16</v>
      </c>
      <c r="K99" t="s">
        <v>17</v>
      </c>
      <c r="L99">
        <v>44</v>
      </c>
      <c r="M99" t="str">
        <f t="shared" si="1"/>
        <v>Middle age 31-54</v>
      </c>
      <c r="N99" t="s">
        <v>15</v>
      </c>
    </row>
    <row r="100" spans="1:14" x14ac:dyDescent="0.25">
      <c r="A100">
        <v>19441</v>
      </c>
      <c r="B100" t="s">
        <v>36</v>
      </c>
      <c r="C100" t="s">
        <v>40</v>
      </c>
      <c r="D100" s="3">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37</v>
      </c>
      <c r="C102" t="s">
        <v>40</v>
      </c>
      <c r="D102" s="3">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37</v>
      </c>
      <c r="C103" t="s">
        <v>40</v>
      </c>
      <c r="D103" s="3">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36</v>
      </c>
      <c r="C104" t="s">
        <v>40</v>
      </c>
      <c r="D104" s="3">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37</v>
      </c>
      <c r="C105" t="s">
        <v>40</v>
      </c>
      <c r="D105" s="3">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40</v>
      </c>
      <c r="D108" s="3">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40</v>
      </c>
      <c r="D111" s="3">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25">
      <c r="A116">
        <v>15030</v>
      </c>
      <c r="B116" t="s">
        <v>36</v>
      </c>
      <c r="C116" t="s">
        <v>40</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40</v>
      </c>
      <c r="D117" s="3">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36</v>
      </c>
      <c r="C120" t="s">
        <v>40</v>
      </c>
      <c r="D120" s="3">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40</v>
      </c>
      <c r="D123" s="3">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39</v>
      </c>
      <c r="D124" s="3">
        <v>80000</v>
      </c>
      <c r="E124">
        <v>0</v>
      </c>
      <c r="F124" t="s">
        <v>13</v>
      </c>
      <c r="G124" t="s">
        <v>21</v>
      </c>
      <c r="H124" t="s">
        <v>18</v>
      </c>
      <c r="I124">
        <v>3</v>
      </c>
      <c r="J124" t="s">
        <v>47</v>
      </c>
      <c r="K124" t="s">
        <v>24</v>
      </c>
      <c r="L124">
        <v>31</v>
      </c>
      <c r="M124" t="str">
        <f t="shared" si="1"/>
        <v>Middle age 31-54</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36</v>
      </c>
      <c r="C127" t="s">
        <v>40</v>
      </c>
      <c r="D127" s="3">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40</v>
      </c>
      <c r="D128" s="3">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36</v>
      </c>
      <c r="C129" t="s">
        <v>40</v>
      </c>
      <c r="D129" s="3">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40</v>
      </c>
      <c r="D130" s="3">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37</v>
      </c>
      <c r="C131" t="s">
        <v>40</v>
      </c>
      <c r="D131" s="3">
        <v>10000</v>
      </c>
      <c r="E131">
        <v>3</v>
      </c>
      <c r="F131" t="s">
        <v>27</v>
      </c>
      <c r="G131" t="s">
        <v>25</v>
      </c>
      <c r="H131" t="s">
        <v>15</v>
      </c>
      <c r="I131">
        <v>1</v>
      </c>
      <c r="J131" t="s">
        <v>16</v>
      </c>
      <c r="K131" t="s">
        <v>17</v>
      </c>
      <c r="L131">
        <v>39</v>
      </c>
      <c r="M131" t="str">
        <f t="shared" ref="M131:M194" si="2">IF(L131&gt;55,"Old 55+",IF(L131&gt;=31,"Middle age 31-54",IF(L131&lt;31,"Adolescent 0-30","Invalid")))</f>
        <v>Middle age 31-54</v>
      </c>
      <c r="N131" t="s">
        <v>15</v>
      </c>
    </row>
    <row r="132" spans="1:14" x14ac:dyDescent="0.25">
      <c r="A132">
        <v>12993</v>
      </c>
      <c r="B132" t="s">
        <v>36</v>
      </c>
      <c r="C132" t="s">
        <v>40</v>
      </c>
      <c r="D132" s="3">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36</v>
      </c>
      <c r="C133" t="s">
        <v>40</v>
      </c>
      <c r="D133" s="3">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40</v>
      </c>
      <c r="D134" s="3">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40</v>
      </c>
      <c r="D135" s="3">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36</v>
      </c>
      <c r="C137" t="s">
        <v>40</v>
      </c>
      <c r="D137" s="3">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37</v>
      </c>
      <c r="C139" t="s">
        <v>40</v>
      </c>
      <c r="D139" s="3">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 31-54</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40</v>
      </c>
      <c r="D142" s="3">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40</v>
      </c>
      <c r="D144" s="3">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36</v>
      </c>
      <c r="C145" t="s">
        <v>39</v>
      </c>
      <c r="D145" s="3">
        <v>80000</v>
      </c>
      <c r="E145">
        <v>0</v>
      </c>
      <c r="F145" t="s">
        <v>13</v>
      </c>
      <c r="G145" t="s">
        <v>21</v>
      </c>
      <c r="H145" t="s">
        <v>15</v>
      </c>
      <c r="I145">
        <v>3</v>
      </c>
      <c r="J145" t="s">
        <v>47</v>
      </c>
      <c r="K145" t="s">
        <v>24</v>
      </c>
      <c r="L145">
        <v>32</v>
      </c>
      <c r="M145" t="str">
        <f t="shared" si="2"/>
        <v>Middle age 31-54</v>
      </c>
      <c r="N145" t="s">
        <v>18</v>
      </c>
    </row>
    <row r="146" spans="1:14" x14ac:dyDescent="0.25">
      <c r="A146">
        <v>20877</v>
      </c>
      <c r="B146" t="s">
        <v>37</v>
      </c>
      <c r="C146" t="s">
        <v>40</v>
      </c>
      <c r="D146" s="3">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36</v>
      </c>
      <c r="C148" t="s">
        <v>40</v>
      </c>
      <c r="D148" s="3">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36</v>
      </c>
      <c r="C150" t="s">
        <v>40</v>
      </c>
      <c r="D150" s="3">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40</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40</v>
      </c>
      <c r="D152" s="3">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37</v>
      </c>
      <c r="C153" t="s">
        <v>40</v>
      </c>
      <c r="D153" s="3">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36</v>
      </c>
      <c r="C155" t="s">
        <v>40</v>
      </c>
      <c r="D155" s="3">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37</v>
      </c>
      <c r="C156" t="s">
        <v>40</v>
      </c>
      <c r="D156" s="3">
        <v>80000</v>
      </c>
      <c r="E156">
        <v>5</v>
      </c>
      <c r="F156" t="s">
        <v>31</v>
      </c>
      <c r="G156" t="s">
        <v>28</v>
      </c>
      <c r="H156" t="s">
        <v>15</v>
      </c>
      <c r="I156">
        <v>3</v>
      </c>
      <c r="J156" t="s">
        <v>16</v>
      </c>
      <c r="K156" t="s">
        <v>24</v>
      </c>
      <c r="L156">
        <v>40</v>
      </c>
      <c r="M156" t="str">
        <f t="shared" si="2"/>
        <v>Middle age 31-54</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40</v>
      </c>
      <c r="D159" s="3">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40</v>
      </c>
      <c r="D165" s="3">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36</v>
      </c>
      <c r="C166" t="s">
        <v>40</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40</v>
      </c>
      <c r="D168" s="3">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40</v>
      </c>
      <c r="D169" s="3">
        <v>100000</v>
      </c>
      <c r="E169">
        <v>0</v>
      </c>
      <c r="F169" t="s">
        <v>27</v>
      </c>
      <c r="G169" t="s">
        <v>28</v>
      </c>
      <c r="H169" t="s">
        <v>15</v>
      </c>
      <c r="I169">
        <v>3</v>
      </c>
      <c r="J169" t="s">
        <v>47</v>
      </c>
      <c r="K169" t="s">
        <v>24</v>
      </c>
      <c r="L169">
        <v>35</v>
      </c>
      <c r="M169" t="str">
        <f t="shared" si="2"/>
        <v>Middle age 31-54</v>
      </c>
      <c r="N169" t="s">
        <v>18</v>
      </c>
    </row>
    <row r="170" spans="1:14" x14ac:dyDescent="0.25">
      <c r="A170">
        <v>14058</v>
      </c>
      <c r="B170" t="s">
        <v>37</v>
      </c>
      <c r="C170" t="s">
        <v>40</v>
      </c>
      <c r="D170" s="3">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36</v>
      </c>
      <c r="C171" t="s">
        <v>40</v>
      </c>
      <c r="D171" s="3">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40</v>
      </c>
      <c r="D174" s="3">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40</v>
      </c>
      <c r="D176" s="3">
        <v>50000</v>
      </c>
      <c r="E176">
        <v>0</v>
      </c>
      <c r="F176" t="s">
        <v>31</v>
      </c>
      <c r="G176" t="s">
        <v>14</v>
      </c>
      <c r="H176" t="s">
        <v>15</v>
      </c>
      <c r="I176">
        <v>0</v>
      </c>
      <c r="J176" t="s">
        <v>16</v>
      </c>
      <c r="K176" t="s">
        <v>17</v>
      </c>
      <c r="L176">
        <v>37</v>
      </c>
      <c r="M176" t="str">
        <f t="shared" si="2"/>
        <v>Middle age 31-54</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36</v>
      </c>
      <c r="C180" t="s">
        <v>40</v>
      </c>
      <c r="D180" s="3">
        <v>160000</v>
      </c>
      <c r="E180">
        <v>4</v>
      </c>
      <c r="F180" t="s">
        <v>19</v>
      </c>
      <c r="G180" t="s">
        <v>21</v>
      </c>
      <c r="H180" t="s">
        <v>18</v>
      </c>
      <c r="I180">
        <v>2</v>
      </c>
      <c r="J180" t="s">
        <v>47</v>
      </c>
      <c r="K180" t="s">
        <v>17</v>
      </c>
      <c r="L180">
        <v>55</v>
      </c>
      <c r="M180" t="str">
        <f t="shared" si="2"/>
        <v>Middle age 31-54</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25">
      <c r="A182">
        <v>25529</v>
      </c>
      <c r="B182" t="s">
        <v>37</v>
      </c>
      <c r="C182" t="s">
        <v>40</v>
      </c>
      <c r="D182" s="3">
        <v>10000</v>
      </c>
      <c r="E182">
        <v>1</v>
      </c>
      <c r="F182" t="s">
        <v>31</v>
      </c>
      <c r="G182" t="s">
        <v>25</v>
      </c>
      <c r="H182" t="s">
        <v>15</v>
      </c>
      <c r="I182">
        <v>0</v>
      </c>
      <c r="J182" t="s">
        <v>16</v>
      </c>
      <c r="K182" t="s">
        <v>17</v>
      </c>
      <c r="L182">
        <v>44</v>
      </c>
      <c r="M182" t="str">
        <f t="shared" si="2"/>
        <v>Middle age 31-54</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 31-54</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37</v>
      </c>
      <c r="C185" t="s">
        <v>40</v>
      </c>
      <c r="D185" s="3">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3">
        <v>130000</v>
      </c>
      <c r="E186">
        <v>4</v>
      </c>
      <c r="F186" t="s">
        <v>27</v>
      </c>
      <c r="G186" t="s">
        <v>28</v>
      </c>
      <c r="H186" t="s">
        <v>18</v>
      </c>
      <c r="I186">
        <v>4</v>
      </c>
      <c r="J186" t="s">
        <v>47</v>
      </c>
      <c r="K186" t="s">
        <v>17</v>
      </c>
      <c r="L186">
        <v>58</v>
      </c>
      <c r="M186" t="str">
        <f t="shared" si="2"/>
        <v>Old 55+</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40</v>
      </c>
      <c r="D189" s="3">
        <v>80000</v>
      </c>
      <c r="E189">
        <v>5</v>
      </c>
      <c r="F189" t="s">
        <v>19</v>
      </c>
      <c r="G189" t="s">
        <v>21</v>
      </c>
      <c r="H189" t="s">
        <v>18</v>
      </c>
      <c r="I189">
        <v>2</v>
      </c>
      <c r="J189" t="s">
        <v>47</v>
      </c>
      <c r="K189" t="s">
        <v>17</v>
      </c>
      <c r="L189">
        <v>59</v>
      </c>
      <c r="M189" t="str">
        <f t="shared" si="2"/>
        <v>Old 55+</v>
      </c>
      <c r="N189" t="s">
        <v>18</v>
      </c>
    </row>
    <row r="190" spans="1:14" x14ac:dyDescent="0.25">
      <c r="A190">
        <v>20606</v>
      </c>
      <c r="B190" t="s">
        <v>36</v>
      </c>
      <c r="C190" t="s">
        <v>39</v>
      </c>
      <c r="D190" s="3">
        <v>70000</v>
      </c>
      <c r="E190">
        <v>0</v>
      </c>
      <c r="F190" t="s">
        <v>13</v>
      </c>
      <c r="G190" t="s">
        <v>21</v>
      </c>
      <c r="H190" t="s">
        <v>15</v>
      </c>
      <c r="I190">
        <v>4</v>
      </c>
      <c r="J190" t="s">
        <v>47</v>
      </c>
      <c r="K190" t="s">
        <v>24</v>
      </c>
      <c r="L190">
        <v>32</v>
      </c>
      <c r="M190" t="str">
        <f t="shared" si="2"/>
        <v>Middle age 31-54</v>
      </c>
      <c r="N190" t="s">
        <v>15</v>
      </c>
    </row>
    <row r="191" spans="1:14" x14ac:dyDescent="0.25">
      <c r="A191">
        <v>19482</v>
      </c>
      <c r="B191" t="s">
        <v>36</v>
      </c>
      <c r="C191" t="s">
        <v>40</v>
      </c>
      <c r="D191" s="3">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36</v>
      </c>
      <c r="C192" t="s">
        <v>40</v>
      </c>
      <c r="D192" s="3">
        <v>30000</v>
      </c>
      <c r="E192">
        <v>3</v>
      </c>
      <c r="F192" t="s">
        <v>27</v>
      </c>
      <c r="G192" t="s">
        <v>14</v>
      </c>
      <c r="H192" t="s">
        <v>15</v>
      </c>
      <c r="I192">
        <v>2</v>
      </c>
      <c r="J192" t="s">
        <v>23</v>
      </c>
      <c r="K192" t="s">
        <v>24</v>
      </c>
      <c r="L192">
        <v>55</v>
      </c>
      <c r="M192" t="str">
        <f t="shared" si="2"/>
        <v>Middle age 31-54</v>
      </c>
      <c r="N192" t="s">
        <v>18</v>
      </c>
    </row>
    <row r="193" spans="1:14" x14ac:dyDescent="0.25">
      <c r="A193">
        <v>26944</v>
      </c>
      <c r="B193" t="s">
        <v>37</v>
      </c>
      <c r="C193" t="s">
        <v>40</v>
      </c>
      <c r="D193" s="3">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37</v>
      </c>
      <c r="C194" t="s">
        <v>39</v>
      </c>
      <c r="D194" s="3">
        <v>80000</v>
      </c>
      <c r="E194">
        <v>5</v>
      </c>
      <c r="F194" t="s">
        <v>13</v>
      </c>
      <c r="G194" t="s">
        <v>28</v>
      </c>
      <c r="H194" t="s">
        <v>15</v>
      </c>
      <c r="I194">
        <v>2</v>
      </c>
      <c r="J194" t="s">
        <v>47</v>
      </c>
      <c r="K194" t="s">
        <v>17</v>
      </c>
      <c r="L194">
        <v>62</v>
      </c>
      <c r="M194" t="str">
        <f t="shared" si="2"/>
        <v>Old 55+</v>
      </c>
      <c r="N194" t="s">
        <v>18</v>
      </c>
    </row>
    <row r="195" spans="1:14" x14ac:dyDescent="0.25">
      <c r="A195">
        <v>26032</v>
      </c>
      <c r="B195" t="s">
        <v>36</v>
      </c>
      <c r="C195" t="s">
        <v>39</v>
      </c>
      <c r="D195" s="3">
        <v>70000</v>
      </c>
      <c r="E195">
        <v>5</v>
      </c>
      <c r="F195" t="s">
        <v>13</v>
      </c>
      <c r="G195" t="s">
        <v>21</v>
      </c>
      <c r="H195" t="s">
        <v>15</v>
      </c>
      <c r="I195">
        <v>4</v>
      </c>
      <c r="J195" t="s">
        <v>47</v>
      </c>
      <c r="K195" t="s">
        <v>24</v>
      </c>
      <c r="L195">
        <v>41</v>
      </c>
      <c r="M195" t="str">
        <f t="shared" ref="M195:M258" si="3">IF(L195&gt;55,"Old 55+",IF(L195&gt;=31,"Middle age 31-54",IF(L195&lt;31,"Adolescent 0-30","Invalid")))</f>
        <v>Middle age 31-54</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37</v>
      </c>
      <c r="C197" t="s">
        <v>40</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25">
      <c r="A199">
        <v>11147</v>
      </c>
      <c r="B199" t="s">
        <v>36</v>
      </c>
      <c r="C199" t="s">
        <v>40</v>
      </c>
      <c r="D199" s="3">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25">
      <c r="A201">
        <v>11453</v>
      </c>
      <c r="B201" t="s">
        <v>37</v>
      </c>
      <c r="C201" t="s">
        <v>40</v>
      </c>
      <c r="D201" s="3">
        <v>80000</v>
      </c>
      <c r="E201">
        <v>0</v>
      </c>
      <c r="F201" t="s">
        <v>13</v>
      </c>
      <c r="G201" t="s">
        <v>21</v>
      </c>
      <c r="H201" t="s">
        <v>18</v>
      </c>
      <c r="I201">
        <v>3</v>
      </c>
      <c r="J201" t="s">
        <v>47</v>
      </c>
      <c r="K201" t="s">
        <v>24</v>
      </c>
      <c r="L201">
        <v>33</v>
      </c>
      <c r="M201" t="str">
        <f t="shared" si="3"/>
        <v>Middle age 31-54</v>
      </c>
      <c r="N201" t="s">
        <v>15</v>
      </c>
    </row>
    <row r="202" spans="1:14" x14ac:dyDescent="0.25">
      <c r="A202">
        <v>24584</v>
      </c>
      <c r="B202" t="s">
        <v>37</v>
      </c>
      <c r="C202" t="s">
        <v>40</v>
      </c>
      <c r="D202" s="3">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36</v>
      </c>
      <c r="C203" t="s">
        <v>40</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40</v>
      </c>
      <c r="D204" s="3">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36</v>
      </c>
      <c r="C207" t="s">
        <v>40</v>
      </c>
      <c r="D207" s="3">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40</v>
      </c>
      <c r="D208" s="3">
        <v>90000</v>
      </c>
      <c r="E208">
        <v>5</v>
      </c>
      <c r="F208" t="s">
        <v>19</v>
      </c>
      <c r="G208" t="s">
        <v>21</v>
      </c>
      <c r="H208" t="s">
        <v>18</v>
      </c>
      <c r="I208">
        <v>2</v>
      </c>
      <c r="J208" t="s">
        <v>47</v>
      </c>
      <c r="K208" t="s">
        <v>17</v>
      </c>
      <c r="L208">
        <v>62</v>
      </c>
      <c r="M208" t="str">
        <f t="shared" si="3"/>
        <v>Old 55+</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40</v>
      </c>
      <c r="D215" s="3">
        <v>70000</v>
      </c>
      <c r="E215">
        <v>0</v>
      </c>
      <c r="F215" t="s">
        <v>13</v>
      </c>
      <c r="G215" t="s">
        <v>21</v>
      </c>
      <c r="H215" t="s">
        <v>18</v>
      </c>
      <c r="I215">
        <v>4</v>
      </c>
      <c r="J215" t="s">
        <v>47</v>
      </c>
      <c r="K215" t="s">
        <v>24</v>
      </c>
      <c r="L215">
        <v>31</v>
      </c>
      <c r="M215" t="str">
        <f t="shared" si="3"/>
        <v>Middle age 31-54</v>
      </c>
      <c r="N215" t="s">
        <v>15</v>
      </c>
    </row>
    <row r="216" spans="1:14" x14ac:dyDescent="0.25">
      <c r="A216">
        <v>25553</v>
      </c>
      <c r="B216" t="s">
        <v>36</v>
      </c>
      <c r="C216" t="s">
        <v>40</v>
      </c>
      <c r="D216" s="3">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40</v>
      </c>
      <c r="D217" s="3">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36</v>
      </c>
      <c r="C218" t="s">
        <v>40</v>
      </c>
      <c r="D218" s="3">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40</v>
      </c>
      <c r="D220" s="3">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37</v>
      </c>
      <c r="C221" t="s">
        <v>40</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40</v>
      </c>
      <c r="D222" s="3">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40</v>
      </c>
      <c r="D223" s="3">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39</v>
      </c>
      <c r="D225" s="3">
        <v>70000</v>
      </c>
      <c r="E225">
        <v>5</v>
      </c>
      <c r="F225" t="s">
        <v>13</v>
      </c>
      <c r="G225" t="s">
        <v>21</v>
      </c>
      <c r="H225" t="s">
        <v>15</v>
      </c>
      <c r="I225">
        <v>4</v>
      </c>
      <c r="J225" t="s">
        <v>47</v>
      </c>
      <c r="K225" t="s">
        <v>24</v>
      </c>
      <c r="L225">
        <v>39</v>
      </c>
      <c r="M225" t="str">
        <f t="shared" si="3"/>
        <v>Middle age 31-54</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40</v>
      </c>
      <c r="D227" s="3">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36</v>
      </c>
      <c r="C229" t="s">
        <v>40</v>
      </c>
      <c r="D229" s="3">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40</v>
      </c>
      <c r="D231" s="3">
        <v>80000</v>
      </c>
      <c r="E231">
        <v>5</v>
      </c>
      <c r="F231" t="s">
        <v>27</v>
      </c>
      <c r="G231" t="s">
        <v>28</v>
      </c>
      <c r="H231" t="s">
        <v>15</v>
      </c>
      <c r="I231">
        <v>3</v>
      </c>
      <c r="J231" t="s">
        <v>47</v>
      </c>
      <c r="K231" t="s">
        <v>17</v>
      </c>
      <c r="L231">
        <v>57</v>
      </c>
      <c r="M231" t="str">
        <f t="shared" si="3"/>
        <v>Old 55+</v>
      </c>
      <c r="N231" t="s">
        <v>18</v>
      </c>
    </row>
    <row r="232" spans="1:14" x14ac:dyDescent="0.25">
      <c r="A232">
        <v>22830</v>
      </c>
      <c r="B232" t="s">
        <v>36</v>
      </c>
      <c r="C232" t="s">
        <v>40</v>
      </c>
      <c r="D232" s="3">
        <v>120000</v>
      </c>
      <c r="E232">
        <v>4</v>
      </c>
      <c r="F232" t="s">
        <v>19</v>
      </c>
      <c r="G232" t="s">
        <v>28</v>
      </c>
      <c r="H232" t="s">
        <v>15</v>
      </c>
      <c r="I232">
        <v>3</v>
      </c>
      <c r="J232" t="s">
        <v>47</v>
      </c>
      <c r="K232" t="s">
        <v>17</v>
      </c>
      <c r="L232">
        <v>56</v>
      </c>
      <c r="M232" t="str">
        <f t="shared" si="3"/>
        <v>Old 55+</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36</v>
      </c>
      <c r="C235" t="s">
        <v>40</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40</v>
      </c>
      <c r="D236" s="3">
        <v>90000</v>
      </c>
      <c r="E236">
        <v>0</v>
      </c>
      <c r="F236" t="s">
        <v>13</v>
      </c>
      <c r="G236" t="s">
        <v>21</v>
      </c>
      <c r="H236" t="s">
        <v>18</v>
      </c>
      <c r="I236">
        <v>4</v>
      </c>
      <c r="J236" t="s">
        <v>47</v>
      </c>
      <c r="K236" t="s">
        <v>24</v>
      </c>
      <c r="L236">
        <v>35</v>
      </c>
      <c r="M236" t="str">
        <f t="shared" si="3"/>
        <v>Middle age 31-54</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40</v>
      </c>
      <c r="D240" s="3">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36</v>
      </c>
      <c r="C242" t="s">
        <v>40</v>
      </c>
      <c r="D242" s="3">
        <v>10000</v>
      </c>
      <c r="E242">
        <v>1</v>
      </c>
      <c r="F242" t="s">
        <v>31</v>
      </c>
      <c r="G242" t="s">
        <v>25</v>
      </c>
      <c r="H242" t="s">
        <v>15</v>
      </c>
      <c r="I242">
        <v>0</v>
      </c>
      <c r="J242" t="s">
        <v>16</v>
      </c>
      <c r="K242" t="s">
        <v>17</v>
      </c>
      <c r="L242">
        <v>37</v>
      </c>
      <c r="M242" t="str">
        <f t="shared" si="3"/>
        <v>Middle age 31-54</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40</v>
      </c>
      <c r="D244" s="3">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39</v>
      </c>
      <c r="D246" s="3">
        <v>120000</v>
      </c>
      <c r="E246">
        <v>3</v>
      </c>
      <c r="F246" t="s">
        <v>13</v>
      </c>
      <c r="G246" t="s">
        <v>28</v>
      </c>
      <c r="H246" t="s">
        <v>18</v>
      </c>
      <c r="I246">
        <v>2</v>
      </c>
      <c r="J246" t="s">
        <v>47</v>
      </c>
      <c r="K246" t="s">
        <v>17</v>
      </c>
      <c r="L246">
        <v>52</v>
      </c>
      <c r="M246" t="str">
        <f t="shared" si="3"/>
        <v>Middle age 31-54</v>
      </c>
      <c r="N246" t="s">
        <v>15</v>
      </c>
    </row>
    <row r="247" spans="1:14" x14ac:dyDescent="0.25">
      <c r="A247">
        <v>18494</v>
      </c>
      <c r="B247" t="s">
        <v>36</v>
      </c>
      <c r="C247" t="s">
        <v>40</v>
      </c>
      <c r="D247" s="3">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36</v>
      </c>
      <c r="C249" t="s">
        <v>39</v>
      </c>
      <c r="D249" s="3">
        <v>100000</v>
      </c>
      <c r="E249">
        <v>0</v>
      </c>
      <c r="F249" t="s">
        <v>27</v>
      </c>
      <c r="G249" t="s">
        <v>28</v>
      </c>
      <c r="H249" t="s">
        <v>15</v>
      </c>
      <c r="I249">
        <v>4</v>
      </c>
      <c r="J249" t="s">
        <v>47</v>
      </c>
      <c r="K249" t="s">
        <v>24</v>
      </c>
      <c r="L249">
        <v>34</v>
      </c>
      <c r="M249" t="str">
        <f t="shared" si="3"/>
        <v>Middle age 31-54</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40</v>
      </c>
      <c r="D251" s="3">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36</v>
      </c>
      <c r="C252" t="s">
        <v>40</v>
      </c>
      <c r="D252" s="3">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40</v>
      </c>
      <c r="D253" s="3">
        <v>130000</v>
      </c>
      <c r="E253">
        <v>4</v>
      </c>
      <c r="F253" t="s">
        <v>27</v>
      </c>
      <c r="G253" t="s">
        <v>21</v>
      </c>
      <c r="H253" t="s">
        <v>15</v>
      </c>
      <c r="I253">
        <v>3</v>
      </c>
      <c r="J253" t="s">
        <v>16</v>
      </c>
      <c r="K253" t="s">
        <v>17</v>
      </c>
      <c r="L253">
        <v>55</v>
      </c>
      <c r="M253" t="str">
        <f t="shared" si="3"/>
        <v>Middle age 31-54</v>
      </c>
      <c r="N253" t="s">
        <v>18</v>
      </c>
    </row>
    <row r="254" spans="1:14" x14ac:dyDescent="0.25">
      <c r="A254">
        <v>12666</v>
      </c>
      <c r="B254" t="s">
        <v>37</v>
      </c>
      <c r="C254" t="s">
        <v>40</v>
      </c>
      <c r="D254" s="3">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36</v>
      </c>
      <c r="C255" t="s">
        <v>40</v>
      </c>
      <c r="D255" s="3">
        <v>100000</v>
      </c>
      <c r="E255">
        <v>3</v>
      </c>
      <c r="F255" t="s">
        <v>29</v>
      </c>
      <c r="G255" t="s">
        <v>21</v>
      </c>
      <c r="H255" t="s">
        <v>15</v>
      </c>
      <c r="I255">
        <v>0</v>
      </c>
      <c r="J255" t="s">
        <v>47</v>
      </c>
      <c r="K255" t="s">
        <v>17</v>
      </c>
      <c r="L255">
        <v>59</v>
      </c>
      <c r="M255" t="str">
        <f t="shared" si="3"/>
        <v>Old 55+</v>
      </c>
      <c r="N255" t="s">
        <v>15</v>
      </c>
    </row>
    <row r="256" spans="1:14" x14ac:dyDescent="0.25">
      <c r="A256">
        <v>21375</v>
      </c>
      <c r="B256" t="s">
        <v>37</v>
      </c>
      <c r="C256" t="s">
        <v>40</v>
      </c>
      <c r="D256" s="3">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36</v>
      </c>
      <c r="C258" t="s">
        <v>40</v>
      </c>
      <c r="D258" s="3">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IF(L259&gt;55,"Old 55+",IF(L259&gt;=31,"Middle age 31-54",IF(L259&lt;31,"Adolescent 0-30","Invalid")))</f>
        <v>Middle age 31-54</v>
      </c>
      <c r="N259" t="s">
        <v>15</v>
      </c>
    </row>
    <row r="260" spans="1:14" x14ac:dyDescent="0.25">
      <c r="A260">
        <v>14193</v>
      </c>
      <c r="B260" t="s">
        <v>37</v>
      </c>
      <c r="C260" t="s">
        <v>39</v>
      </c>
      <c r="D260" s="3">
        <v>100000</v>
      </c>
      <c r="E260">
        <v>3</v>
      </c>
      <c r="F260" t="s">
        <v>19</v>
      </c>
      <c r="G260" t="s">
        <v>28</v>
      </c>
      <c r="H260" t="s">
        <v>15</v>
      </c>
      <c r="I260">
        <v>4</v>
      </c>
      <c r="J260" t="s">
        <v>47</v>
      </c>
      <c r="K260" t="s">
        <v>17</v>
      </c>
      <c r="L260">
        <v>56</v>
      </c>
      <c r="M260" t="str">
        <f t="shared" si="4"/>
        <v>Old 55+</v>
      </c>
      <c r="N260" t="s">
        <v>18</v>
      </c>
    </row>
    <row r="261" spans="1:14" x14ac:dyDescent="0.25">
      <c r="A261">
        <v>12705</v>
      </c>
      <c r="B261" t="s">
        <v>36</v>
      </c>
      <c r="C261" t="s">
        <v>40</v>
      </c>
      <c r="D261" s="3">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37</v>
      </c>
      <c r="C265" t="s">
        <v>39</v>
      </c>
      <c r="D265" s="3">
        <v>70000</v>
      </c>
      <c r="E265">
        <v>5</v>
      </c>
      <c r="F265" t="s">
        <v>13</v>
      </c>
      <c r="G265" t="s">
        <v>21</v>
      </c>
      <c r="H265" t="s">
        <v>15</v>
      </c>
      <c r="I265">
        <v>3</v>
      </c>
      <c r="J265" t="s">
        <v>47</v>
      </c>
      <c r="K265" t="s">
        <v>24</v>
      </c>
      <c r="L265">
        <v>39</v>
      </c>
      <c r="M265" t="str">
        <f t="shared" si="4"/>
        <v>Middle age 31-54</v>
      </c>
      <c r="N265" t="s">
        <v>18</v>
      </c>
    </row>
    <row r="266" spans="1:14" x14ac:dyDescent="0.25">
      <c r="A266">
        <v>17964</v>
      </c>
      <c r="B266" t="s">
        <v>36</v>
      </c>
      <c r="C266" t="s">
        <v>40</v>
      </c>
      <c r="D266" s="3">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40</v>
      </c>
      <c r="D269" s="3">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36</v>
      </c>
      <c r="C270" t="s">
        <v>40</v>
      </c>
      <c r="D270" s="3">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40</v>
      </c>
      <c r="D274" s="3">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36</v>
      </c>
      <c r="C280" t="s">
        <v>40</v>
      </c>
      <c r="D280" s="3">
        <v>100000</v>
      </c>
      <c r="E280">
        <v>0</v>
      </c>
      <c r="F280" t="s">
        <v>27</v>
      </c>
      <c r="G280" t="s">
        <v>28</v>
      </c>
      <c r="H280" t="s">
        <v>15</v>
      </c>
      <c r="I280">
        <v>3</v>
      </c>
      <c r="J280" t="s">
        <v>47</v>
      </c>
      <c r="K280" t="s">
        <v>24</v>
      </c>
      <c r="L280">
        <v>35</v>
      </c>
      <c r="M280" t="str">
        <f t="shared" si="4"/>
        <v>Middle age 31-54</v>
      </c>
      <c r="N280" t="s">
        <v>15</v>
      </c>
    </row>
    <row r="281" spans="1:14" x14ac:dyDescent="0.25">
      <c r="A281">
        <v>16390</v>
      </c>
      <c r="B281" t="s">
        <v>37</v>
      </c>
      <c r="C281" t="s">
        <v>40</v>
      </c>
      <c r="D281" s="3">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37</v>
      </c>
      <c r="C283" t="s">
        <v>40</v>
      </c>
      <c r="D283" s="3">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37</v>
      </c>
      <c r="C284" t="s">
        <v>40</v>
      </c>
      <c r="D284" s="3">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37</v>
      </c>
      <c r="C286" t="s">
        <v>40</v>
      </c>
      <c r="D286" s="3">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36</v>
      </c>
      <c r="C290" t="s">
        <v>40</v>
      </c>
      <c r="D290" s="3">
        <v>130000</v>
      </c>
      <c r="E290">
        <v>0</v>
      </c>
      <c r="F290" t="s">
        <v>31</v>
      </c>
      <c r="G290" t="s">
        <v>28</v>
      </c>
      <c r="H290" t="s">
        <v>15</v>
      </c>
      <c r="I290">
        <v>0</v>
      </c>
      <c r="J290" t="s">
        <v>23</v>
      </c>
      <c r="K290" t="s">
        <v>24</v>
      </c>
      <c r="L290">
        <v>48</v>
      </c>
      <c r="M290" t="str">
        <f t="shared" si="4"/>
        <v>Middle age 31-54</v>
      </c>
      <c r="N290" t="s">
        <v>18</v>
      </c>
    </row>
    <row r="291" spans="1:14" x14ac:dyDescent="0.25">
      <c r="A291">
        <v>29094</v>
      </c>
      <c r="B291" t="s">
        <v>36</v>
      </c>
      <c r="C291" t="s">
        <v>40</v>
      </c>
      <c r="D291" s="3">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36</v>
      </c>
      <c r="C293" t="s">
        <v>40</v>
      </c>
      <c r="D293" s="3">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37</v>
      </c>
      <c r="C296" t="s">
        <v>40</v>
      </c>
      <c r="D296" s="3">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37</v>
      </c>
      <c r="C297" t="s">
        <v>39</v>
      </c>
      <c r="D297" s="3">
        <v>110000</v>
      </c>
      <c r="E297">
        <v>0</v>
      </c>
      <c r="F297" t="s">
        <v>19</v>
      </c>
      <c r="G297" t="s">
        <v>28</v>
      </c>
      <c r="H297" t="s">
        <v>15</v>
      </c>
      <c r="I297">
        <v>3</v>
      </c>
      <c r="J297" t="s">
        <v>47</v>
      </c>
      <c r="K297" t="s">
        <v>24</v>
      </c>
      <c r="L297">
        <v>32</v>
      </c>
      <c r="M297" t="str">
        <f t="shared" si="4"/>
        <v>Middle age 31-54</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36</v>
      </c>
      <c r="C299" t="s">
        <v>40</v>
      </c>
      <c r="D299" s="3">
        <v>100000</v>
      </c>
      <c r="E299">
        <v>1</v>
      </c>
      <c r="F299" t="s">
        <v>31</v>
      </c>
      <c r="G299" t="s">
        <v>28</v>
      </c>
      <c r="H299" t="s">
        <v>15</v>
      </c>
      <c r="I299">
        <v>0</v>
      </c>
      <c r="J299" t="s">
        <v>22</v>
      </c>
      <c r="K299" t="s">
        <v>24</v>
      </c>
      <c r="L299">
        <v>36</v>
      </c>
      <c r="M299" t="str">
        <f t="shared" si="4"/>
        <v>Middle age 31-54</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40</v>
      </c>
      <c r="D304" s="3">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36</v>
      </c>
      <c r="C306" t="s">
        <v>40</v>
      </c>
      <c r="D306" s="3">
        <v>80000</v>
      </c>
      <c r="E306">
        <v>4</v>
      </c>
      <c r="F306" t="s">
        <v>31</v>
      </c>
      <c r="G306" t="s">
        <v>28</v>
      </c>
      <c r="H306" t="s">
        <v>15</v>
      </c>
      <c r="I306">
        <v>1</v>
      </c>
      <c r="J306" t="s">
        <v>16</v>
      </c>
      <c r="K306" t="s">
        <v>24</v>
      </c>
      <c r="L306">
        <v>36</v>
      </c>
      <c r="M306" t="str">
        <f t="shared" si="4"/>
        <v>Middle age 31-54</v>
      </c>
      <c r="N306" t="s">
        <v>15</v>
      </c>
    </row>
    <row r="307" spans="1:14" x14ac:dyDescent="0.25">
      <c r="A307">
        <v>25923</v>
      </c>
      <c r="B307" t="s">
        <v>37</v>
      </c>
      <c r="C307" t="s">
        <v>40</v>
      </c>
      <c r="D307" s="3">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40</v>
      </c>
      <c r="D308" s="3">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36</v>
      </c>
      <c r="C309" t="s">
        <v>40</v>
      </c>
      <c r="D309" s="3">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40</v>
      </c>
      <c r="D310" s="3">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36</v>
      </c>
      <c r="C312" t="s">
        <v>40</v>
      </c>
      <c r="D312" s="3">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36</v>
      </c>
      <c r="C313" t="s">
        <v>40</v>
      </c>
      <c r="D313" s="3">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36</v>
      </c>
      <c r="C314" t="s">
        <v>40</v>
      </c>
      <c r="D314" s="3">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40</v>
      </c>
      <c r="D315" s="3">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36</v>
      </c>
      <c r="C316" t="s">
        <v>40</v>
      </c>
      <c r="D316" s="3">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40</v>
      </c>
      <c r="D317" s="3">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36</v>
      </c>
      <c r="C318" t="s">
        <v>40</v>
      </c>
      <c r="D318" s="3">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40</v>
      </c>
      <c r="D319" s="3">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36</v>
      </c>
      <c r="C320" t="s">
        <v>40</v>
      </c>
      <c r="D320" s="3">
        <v>130000</v>
      </c>
      <c r="E320">
        <v>4</v>
      </c>
      <c r="F320" t="s">
        <v>19</v>
      </c>
      <c r="G320" t="s">
        <v>21</v>
      </c>
      <c r="H320" t="s">
        <v>18</v>
      </c>
      <c r="I320">
        <v>3</v>
      </c>
      <c r="J320" t="s">
        <v>47</v>
      </c>
      <c r="K320" t="s">
        <v>17</v>
      </c>
      <c r="L320">
        <v>54</v>
      </c>
      <c r="M320" t="str">
        <f t="shared" si="4"/>
        <v>Middle age 31-54</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36</v>
      </c>
      <c r="C322" t="s">
        <v>40</v>
      </c>
      <c r="D322" s="3">
        <v>100000</v>
      </c>
      <c r="E322">
        <v>0</v>
      </c>
      <c r="F322" t="s">
        <v>31</v>
      </c>
      <c r="G322" t="s">
        <v>28</v>
      </c>
      <c r="H322" t="s">
        <v>15</v>
      </c>
      <c r="I322">
        <v>0</v>
      </c>
      <c r="J322" t="s">
        <v>22</v>
      </c>
      <c r="K322" t="s">
        <v>24</v>
      </c>
      <c r="L322">
        <v>40</v>
      </c>
      <c r="M322" t="str">
        <f t="shared" si="4"/>
        <v>Middle age 31-54</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IF(L323&gt;55,"Old 55+",IF(L323&gt;=31,"Middle age 31-54",IF(L323&lt;31,"Adolescent 0-30","Invalid")))</f>
        <v>Middle age 31-54</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36</v>
      </c>
      <c r="C326" t="s">
        <v>40</v>
      </c>
      <c r="D326" s="3">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40</v>
      </c>
      <c r="D327" s="3">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40</v>
      </c>
      <c r="D329" s="3">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37</v>
      </c>
      <c r="C330" t="s">
        <v>40</v>
      </c>
      <c r="D330" s="3">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36</v>
      </c>
      <c r="C331" t="s">
        <v>39</v>
      </c>
      <c r="D331" s="3">
        <v>90000</v>
      </c>
      <c r="E331">
        <v>5</v>
      </c>
      <c r="F331" t="s">
        <v>29</v>
      </c>
      <c r="G331" t="s">
        <v>14</v>
      </c>
      <c r="H331" t="s">
        <v>15</v>
      </c>
      <c r="I331">
        <v>2</v>
      </c>
      <c r="J331" t="s">
        <v>47</v>
      </c>
      <c r="K331" t="s">
        <v>17</v>
      </c>
      <c r="L331">
        <v>59</v>
      </c>
      <c r="M331" t="str">
        <f t="shared" si="5"/>
        <v>Old 55+</v>
      </c>
      <c r="N331" t="s">
        <v>18</v>
      </c>
    </row>
    <row r="332" spans="1:14" x14ac:dyDescent="0.25">
      <c r="A332">
        <v>24898</v>
      </c>
      <c r="B332" t="s">
        <v>37</v>
      </c>
      <c r="C332" t="s">
        <v>39</v>
      </c>
      <c r="D332" s="3">
        <v>80000</v>
      </c>
      <c r="E332">
        <v>0</v>
      </c>
      <c r="F332" t="s">
        <v>13</v>
      </c>
      <c r="G332" t="s">
        <v>21</v>
      </c>
      <c r="H332" t="s">
        <v>15</v>
      </c>
      <c r="I332">
        <v>3</v>
      </c>
      <c r="J332" t="s">
        <v>47</v>
      </c>
      <c r="K332" t="s">
        <v>24</v>
      </c>
      <c r="L332">
        <v>32</v>
      </c>
      <c r="M332" t="str">
        <f t="shared" si="5"/>
        <v>Middle age 31-54</v>
      </c>
      <c r="N332" t="s">
        <v>18</v>
      </c>
    </row>
    <row r="333" spans="1:14" x14ac:dyDescent="0.25">
      <c r="A333">
        <v>19508</v>
      </c>
      <c r="B333" t="s">
        <v>36</v>
      </c>
      <c r="C333" t="s">
        <v>40</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36</v>
      </c>
      <c r="C335" t="s">
        <v>40</v>
      </c>
      <c r="D335" s="3">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36</v>
      </c>
      <c r="C336" t="s">
        <v>40</v>
      </c>
      <c r="D336" s="3">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36</v>
      </c>
      <c r="C337" t="s">
        <v>40</v>
      </c>
      <c r="D337" s="3">
        <v>80000</v>
      </c>
      <c r="E337">
        <v>5</v>
      </c>
      <c r="F337" t="s">
        <v>31</v>
      </c>
      <c r="G337" t="s">
        <v>28</v>
      </c>
      <c r="H337" t="s">
        <v>18</v>
      </c>
      <c r="I337">
        <v>2</v>
      </c>
      <c r="J337" t="s">
        <v>16</v>
      </c>
      <c r="K337" t="s">
        <v>24</v>
      </c>
      <c r="L337">
        <v>39</v>
      </c>
      <c r="M337" t="str">
        <f t="shared" si="5"/>
        <v>Middle age 31-54</v>
      </c>
      <c r="N337" t="s">
        <v>18</v>
      </c>
    </row>
    <row r="338" spans="1:14" x14ac:dyDescent="0.25">
      <c r="A338">
        <v>27165</v>
      </c>
      <c r="B338" t="s">
        <v>37</v>
      </c>
      <c r="C338" t="s">
        <v>40</v>
      </c>
      <c r="D338" s="3">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36</v>
      </c>
      <c r="C339" t="s">
        <v>40</v>
      </c>
      <c r="D339" s="3">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36</v>
      </c>
      <c r="C341" t="s">
        <v>40</v>
      </c>
      <c r="D341" s="3">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40</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37</v>
      </c>
      <c r="C344" t="s">
        <v>40</v>
      </c>
      <c r="D344" s="3">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37</v>
      </c>
      <c r="C346" t="s">
        <v>40</v>
      </c>
      <c r="D346" s="3">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36</v>
      </c>
      <c r="C348" t="s">
        <v>40</v>
      </c>
      <c r="D348" s="3">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36</v>
      </c>
      <c r="C350" t="s">
        <v>40</v>
      </c>
      <c r="D350" s="3">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40</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40</v>
      </c>
      <c r="D353" s="3">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40</v>
      </c>
      <c r="D355" s="3">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40</v>
      </c>
      <c r="D356" s="3">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40</v>
      </c>
      <c r="D357" s="3">
        <v>80000</v>
      </c>
      <c r="E357">
        <v>0</v>
      </c>
      <c r="F357" t="s">
        <v>13</v>
      </c>
      <c r="G357" t="s">
        <v>21</v>
      </c>
      <c r="H357" t="s">
        <v>15</v>
      </c>
      <c r="I357">
        <v>3</v>
      </c>
      <c r="J357" t="s">
        <v>47</v>
      </c>
      <c r="K357" t="s">
        <v>24</v>
      </c>
      <c r="L357">
        <v>32</v>
      </c>
      <c r="M357" t="str">
        <f t="shared" si="5"/>
        <v>Middle age 31-54</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36</v>
      </c>
      <c r="C360" t="s">
        <v>40</v>
      </c>
      <c r="D360" s="3">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40</v>
      </c>
      <c r="D361" s="3">
        <v>80000</v>
      </c>
      <c r="E361">
        <v>0</v>
      </c>
      <c r="F361" t="s">
        <v>13</v>
      </c>
      <c r="G361" t="s">
        <v>21</v>
      </c>
      <c r="H361" t="s">
        <v>15</v>
      </c>
      <c r="I361">
        <v>3</v>
      </c>
      <c r="J361" t="s">
        <v>47</v>
      </c>
      <c r="K361" t="s">
        <v>24</v>
      </c>
      <c r="L361">
        <v>30</v>
      </c>
      <c r="M361" t="str">
        <f t="shared" si="5"/>
        <v>Adolescent 0-30</v>
      </c>
      <c r="N361" t="s">
        <v>18</v>
      </c>
    </row>
    <row r="362" spans="1:14" x14ac:dyDescent="0.25">
      <c r="A362">
        <v>13082</v>
      </c>
      <c r="B362" t="s">
        <v>37</v>
      </c>
      <c r="C362" t="s">
        <v>40</v>
      </c>
      <c r="D362" s="3">
        <v>130000</v>
      </c>
      <c r="E362">
        <v>0</v>
      </c>
      <c r="F362" t="s">
        <v>31</v>
      </c>
      <c r="G362" t="s">
        <v>28</v>
      </c>
      <c r="H362" t="s">
        <v>15</v>
      </c>
      <c r="I362">
        <v>0</v>
      </c>
      <c r="J362" t="s">
        <v>22</v>
      </c>
      <c r="K362" t="s">
        <v>24</v>
      </c>
      <c r="L362">
        <v>48</v>
      </c>
      <c r="M362" t="str">
        <f t="shared" si="5"/>
        <v>Middle age 31-54</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40</v>
      </c>
      <c r="D364" s="3">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36</v>
      </c>
      <c r="C368" t="s">
        <v>40</v>
      </c>
      <c r="D368" s="3">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36</v>
      </c>
      <c r="C372" t="s">
        <v>39</v>
      </c>
      <c r="D372" s="3">
        <v>100000</v>
      </c>
      <c r="E372">
        <v>4</v>
      </c>
      <c r="F372" t="s">
        <v>13</v>
      </c>
      <c r="G372" t="s">
        <v>21</v>
      </c>
      <c r="H372" t="s">
        <v>15</v>
      </c>
      <c r="I372">
        <v>1</v>
      </c>
      <c r="J372" t="s">
        <v>47</v>
      </c>
      <c r="K372" t="s">
        <v>24</v>
      </c>
      <c r="L372">
        <v>46</v>
      </c>
      <c r="M372" t="str">
        <f t="shared" si="5"/>
        <v>Middle age 31-54</v>
      </c>
      <c r="N372" t="s">
        <v>18</v>
      </c>
    </row>
    <row r="373" spans="1:14" x14ac:dyDescent="0.25">
      <c r="A373">
        <v>22918</v>
      </c>
      <c r="B373" t="s">
        <v>37</v>
      </c>
      <c r="C373" t="s">
        <v>40</v>
      </c>
      <c r="D373" s="3">
        <v>80000</v>
      </c>
      <c r="E373">
        <v>5</v>
      </c>
      <c r="F373" t="s">
        <v>31</v>
      </c>
      <c r="G373" t="s">
        <v>28</v>
      </c>
      <c r="H373" t="s">
        <v>15</v>
      </c>
      <c r="I373">
        <v>3</v>
      </c>
      <c r="J373" t="s">
        <v>16</v>
      </c>
      <c r="K373" t="s">
        <v>24</v>
      </c>
      <c r="L373">
        <v>50</v>
      </c>
      <c r="M373" t="str">
        <f t="shared" si="5"/>
        <v>Middle age 31-54</v>
      </c>
      <c r="N373" t="s">
        <v>18</v>
      </c>
    </row>
    <row r="374" spans="1:14" x14ac:dyDescent="0.25">
      <c r="A374">
        <v>12510</v>
      </c>
      <c r="B374" t="s">
        <v>36</v>
      </c>
      <c r="C374" t="s">
        <v>40</v>
      </c>
      <c r="D374" s="3">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37</v>
      </c>
      <c r="C375" t="s">
        <v>40</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40</v>
      </c>
      <c r="D378" s="3">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40</v>
      </c>
      <c r="D379" s="3">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36</v>
      </c>
      <c r="C380" t="s">
        <v>40</v>
      </c>
      <c r="D380" s="3">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40</v>
      </c>
      <c r="D381" s="3">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40</v>
      </c>
      <c r="D382" s="3">
        <v>70000</v>
      </c>
      <c r="E382">
        <v>0</v>
      </c>
      <c r="F382" t="s">
        <v>13</v>
      </c>
      <c r="G382" t="s">
        <v>21</v>
      </c>
      <c r="H382" t="s">
        <v>18</v>
      </c>
      <c r="I382">
        <v>3</v>
      </c>
      <c r="J382" t="s">
        <v>47</v>
      </c>
      <c r="K382" t="s">
        <v>24</v>
      </c>
      <c r="L382">
        <v>30</v>
      </c>
      <c r="M382" t="str">
        <f t="shared" si="5"/>
        <v>Adolescent 0-30</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40</v>
      </c>
      <c r="D384" s="3">
        <v>80000</v>
      </c>
      <c r="E384">
        <v>4</v>
      </c>
      <c r="F384" t="s">
        <v>19</v>
      </c>
      <c r="G384" t="s">
        <v>21</v>
      </c>
      <c r="H384" t="s">
        <v>15</v>
      </c>
      <c r="I384">
        <v>2</v>
      </c>
      <c r="J384" t="s">
        <v>47</v>
      </c>
      <c r="K384" t="s">
        <v>17</v>
      </c>
      <c r="L384">
        <v>53</v>
      </c>
      <c r="M384" t="str">
        <f t="shared" si="5"/>
        <v>Middle age 31-54</v>
      </c>
      <c r="N384" t="s">
        <v>18</v>
      </c>
    </row>
    <row r="385" spans="1:14" x14ac:dyDescent="0.25">
      <c r="A385">
        <v>17978</v>
      </c>
      <c r="B385" t="s">
        <v>36</v>
      </c>
      <c r="C385" t="s">
        <v>40</v>
      </c>
      <c r="D385" s="3">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40</v>
      </c>
      <c r="D387" s="3">
        <v>30000</v>
      </c>
      <c r="E387">
        <v>3</v>
      </c>
      <c r="F387" t="s">
        <v>19</v>
      </c>
      <c r="G387" t="s">
        <v>20</v>
      </c>
      <c r="H387" t="s">
        <v>15</v>
      </c>
      <c r="I387">
        <v>0</v>
      </c>
      <c r="J387" t="s">
        <v>16</v>
      </c>
      <c r="K387" t="s">
        <v>17</v>
      </c>
      <c r="L387">
        <v>43</v>
      </c>
      <c r="M387" t="str">
        <f t="shared" ref="M387:M450" si="6">IF(L387&gt;55,"Old 55+",IF(L387&gt;=31,"Middle age 31-54",IF(L387&lt;31,"Adolescent 0-30","Invalid")))</f>
        <v>Middle age 31-54</v>
      </c>
      <c r="N387" t="s">
        <v>18</v>
      </c>
    </row>
    <row r="388" spans="1:14" x14ac:dyDescent="0.25">
      <c r="A388">
        <v>28957</v>
      </c>
      <c r="B388" t="s">
        <v>37</v>
      </c>
      <c r="C388" t="s">
        <v>39</v>
      </c>
      <c r="D388" s="3">
        <v>120000</v>
      </c>
      <c r="E388">
        <v>0</v>
      </c>
      <c r="F388" t="s">
        <v>29</v>
      </c>
      <c r="G388" t="s">
        <v>21</v>
      </c>
      <c r="H388" t="s">
        <v>15</v>
      </c>
      <c r="I388">
        <v>4</v>
      </c>
      <c r="J388" t="s">
        <v>47</v>
      </c>
      <c r="K388" t="s">
        <v>24</v>
      </c>
      <c r="L388">
        <v>34</v>
      </c>
      <c r="M388" t="str">
        <f t="shared" si="6"/>
        <v>Middle age 31-54</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40</v>
      </c>
      <c r="D392" s="3">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40</v>
      </c>
      <c r="D394" s="3">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36</v>
      </c>
      <c r="C397" t="s">
        <v>40</v>
      </c>
      <c r="D397" s="3">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40</v>
      </c>
      <c r="D398" s="3">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40</v>
      </c>
      <c r="D400" s="3">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37</v>
      </c>
      <c r="C402" t="s">
        <v>39</v>
      </c>
      <c r="D402" s="3">
        <v>110000</v>
      </c>
      <c r="E402">
        <v>3</v>
      </c>
      <c r="F402" t="s">
        <v>13</v>
      </c>
      <c r="G402" t="s">
        <v>28</v>
      </c>
      <c r="H402" t="s">
        <v>15</v>
      </c>
      <c r="I402">
        <v>4</v>
      </c>
      <c r="J402" t="s">
        <v>47</v>
      </c>
      <c r="K402" t="s">
        <v>17</v>
      </c>
      <c r="L402">
        <v>53</v>
      </c>
      <c r="M402" t="str">
        <f t="shared" si="6"/>
        <v>Middle age 31-54</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40</v>
      </c>
      <c r="D404" s="3">
        <v>10000</v>
      </c>
      <c r="E404">
        <v>1</v>
      </c>
      <c r="F404" t="s">
        <v>31</v>
      </c>
      <c r="G404" t="s">
        <v>25</v>
      </c>
      <c r="H404" t="s">
        <v>15</v>
      </c>
      <c r="I404">
        <v>0</v>
      </c>
      <c r="J404" t="s">
        <v>16</v>
      </c>
      <c r="K404" t="s">
        <v>17</v>
      </c>
      <c r="L404">
        <v>44</v>
      </c>
      <c r="M404" t="str">
        <f t="shared" si="6"/>
        <v>Middle age 31-54</v>
      </c>
      <c r="N404" t="s">
        <v>18</v>
      </c>
    </row>
    <row r="405" spans="1:14" x14ac:dyDescent="0.25">
      <c r="A405">
        <v>17882</v>
      </c>
      <c r="B405" t="s">
        <v>36</v>
      </c>
      <c r="C405" t="s">
        <v>40</v>
      </c>
      <c r="D405" s="3">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36</v>
      </c>
      <c r="C406" t="s">
        <v>40</v>
      </c>
      <c r="D406" s="3">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36</v>
      </c>
      <c r="C413" t="s">
        <v>40</v>
      </c>
      <c r="D413" s="3">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37</v>
      </c>
      <c r="C414" t="s">
        <v>40</v>
      </c>
      <c r="D414" s="3">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25">
      <c r="A418">
        <v>11897</v>
      </c>
      <c r="B418" t="s">
        <v>37</v>
      </c>
      <c r="C418" t="s">
        <v>40</v>
      </c>
      <c r="D418" s="3">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40</v>
      </c>
      <c r="D420" s="3">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37</v>
      </c>
      <c r="C421" t="s">
        <v>40</v>
      </c>
      <c r="D421" s="3">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36</v>
      </c>
      <c r="C422" t="s">
        <v>39</v>
      </c>
      <c r="D422" s="3">
        <v>100000</v>
      </c>
      <c r="E422">
        <v>2</v>
      </c>
      <c r="F422" t="s">
        <v>13</v>
      </c>
      <c r="G422" t="s">
        <v>28</v>
      </c>
      <c r="H422" t="s">
        <v>15</v>
      </c>
      <c r="I422">
        <v>4</v>
      </c>
      <c r="J422" t="s">
        <v>47</v>
      </c>
      <c r="K422" t="s">
        <v>17</v>
      </c>
      <c r="L422">
        <v>59</v>
      </c>
      <c r="M422" t="str">
        <f t="shared" si="6"/>
        <v>Old 55+</v>
      </c>
      <c r="N422" t="s">
        <v>18</v>
      </c>
    </row>
    <row r="423" spans="1:14" x14ac:dyDescent="0.25">
      <c r="A423">
        <v>14547</v>
      </c>
      <c r="B423" t="s">
        <v>36</v>
      </c>
      <c r="C423" t="s">
        <v>40</v>
      </c>
      <c r="D423" s="3">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37</v>
      </c>
      <c r="C424" t="s">
        <v>40</v>
      </c>
      <c r="D424" s="3">
        <v>110000</v>
      </c>
      <c r="E424">
        <v>0</v>
      </c>
      <c r="F424" t="s">
        <v>19</v>
      </c>
      <c r="G424" t="s">
        <v>28</v>
      </c>
      <c r="H424" t="s">
        <v>18</v>
      </c>
      <c r="I424">
        <v>3</v>
      </c>
      <c r="J424" t="s">
        <v>47</v>
      </c>
      <c r="K424" t="s">
        <v>24</v>
      </c>
      <c r="L424">
        <v>32</v>
      </c>
      <c r="M424" t="str">
        <f t="shared" si="6"/>
        <v>Middle age 31-54</v>
      </c>
      <c r="N424" t="s">
        <v>15</v>
      </c>
    </row>
    <row r="425" spans="1:14" x14ac:dyDescent="0.25">
      <c r="A425">
        <v>27169</v>
      </c>
      <c r="B425" t="s">
        <v>37</v>
      </c>
      <c r="C425" t="s">
        <v>40</v>
      </c>
      <c r="D425" s="3">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36</v>
      </c>
      <c r="C427" t="s">
        <v>40</v>
      </c>
      <c r="D427" s="3">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40</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25">
      <c r="A430">
        <v>22204</v>
      </c>
      <c r="B430" t="s">
        <v>36</v>
      </c>
      <c r="C430" t="s">
        <v>40</v>
      </c>
      <c r="D430" s="3">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 31-54</v>
      </c>
      <c r="N432" t="s">
        <v>18</v>
      </c>
    </row>
    <row r="433" spans="1:14" x14ac:dyDescent="0.25">
      <c r="A433">
        <v>28488</v>
      </c>
      <c r="B433" t="s">
        <v>37</v>
      </c>
      <c r="C433" t="s">
        <v>40</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39</v>
      </c>
      <c r="D434" s="3">
        <v>110000</v>
      </c>
      <c r="E434">
        <v>0</v>
      </c>
      <c r="F434" t="s">
        <v>27</v>
      </c>
      <c r="G434" t="s">
        <v>28</v>
      </c>
      <c r="H434" t="s">
        <v>15</v>
      </c>
      <c r="I434">
        <v>3</v>
      </c>
      <c r="J434" t="s">
        <v>47</v>
      </c>
      <c r="K434" t="s">
        <v>24</v>
      </c>
      <c r="L434">
        <v>34</v>
      </c>
      <c r="M434" t="str">
        <f t="shared" si="6"/>
        <v>Middle age 31-54</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25">
      <c r="A441">
        <v>19618</v>
      </c>
      <c r="B441" t="s">
        <v>36</v>
      </c>
      <c r="C441" t="s">
        <v>40</v>
      </c>
      <c r="D441" s="3">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37</v>
      </c>
      <c r="C442" t="s">
        <v>40</v>
      </c>
      <c r="D442" s="3">
        <v>90000</v>
      </c>
      <c r="E442">
        <v>0</v>
      </c>
      <c r="F442" t="s">
        <v>13</v>
      </c>
      <c r="G442" t="s">
        <v>21</v>
      </c>
      <c r="H442" t="s">
        <v>18</v>
      </c>
      <c r="I442">
        <v>3</v>
      </c>
      <c r="J442" t="s">
        <v>47</v>
      </c>
      <c r="K442" t="s">
        <v>24</v>
      </c>
      <c r="L442">
        <v>34</v>
      </c>
      <c r="M442" t="str">
        <f t="shared" si="6"/>
        <v>Middle age 31-54</v>
      </c>
      <c r="N442" t="s">
        <v>15</v>
      </c>
    </row>
    <row r="443" spans="1:14" x14ac:dyDescent="0.25">
      <c r="A443">
        <v>11061</v>
      </c>
      <c r="B443" t="s">
        <v>36</v>
      </c>
      <c r="C443" t="s">
        <v>40</v>
      </c>
      <c r="D443" s="3">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37</v>
      </c>
      <c r="C444" t="s">
        <v>40</v>
      </c>
      <c r="D444" s="3">
        <v>80000</v>
      </c>
      <c r="E444">
        <v>4</v>
      </c>
      <c r="F444" t="s">
        <v>31</v>
      </c>
      <c r="G444" t="s">
        <v>28</v>
      </c>
      <c r="H444" t="s">
        <v>15</v>
      </c>
      <c r="I444">
        <v>0</v>
      </c>
      <c r="J444" t="s">
        <v>16</v>
      </c>
      <c r="K444" t="s">
        <v>24</v>
      </c>
      <c r="L444">
        <v>36</v>
      </c>
      <c r="M444" t="str">
        <f t="shared" si="6"/>
        <v>Middle age 31-54</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37</v>
      </c>
      <c r="C446" t="s">
        <v>40</v>
      </c>
      <c r="D446" s="3">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36</v>
      </c>
      <c r="C448" t="s">
        <v>39</v>
      </c>
      <c r="D448" s="3">
        <v>130000</v>
      </c>
      <c r="E448">
        <v>0</v>
      </c>
      <c r="F448" t="s">
        <v>31</v>
      </c>
      <c r="G448" t="s">
        <v>28</v>
      </c>
      <c r="H448" t="s">
        <v>15</v>
      </c>
      <c r="I448">
        <v>1</v>
      </c>
      <c r="J448" t="s">
        <v>47</v>
      </c>
      <c r="K448" t="s">
        <v>24</v>
      </c>
      <c r="L448">
        <v>48</v>
      </c>
      <c r="M448" t="str">
        <f t="shared" si="6"/>
        <v>Middle age 31-54</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IF(L451&gt;55,"Old 55+",IF(L451&gt;=31,"Middle age 31-54",IF(L451&lt;31,"Adolescent 0-30","Invalid")))</f>
        <v>Middle age 31-54</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37</v>
      </c>
      <c r="C456" t="s">
        <v>40</v>
      </c>
      <c r="D456" s="3">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40</v>
      </c>
      <c r="D458" s="3">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40</v>
      </c>
      <c r="D460" s="3">
        <v>120000</v>
      </c>
      <c r="E460">
        <v>0</v>
      </c>
      <c r="F460" t="s">
        <v>29</v>
      </c>
      <c r="G460" t="s">
        <v>21</v>
      </c>
      <c r="H460" t="s">
        <v>15</v>
      </c>
      <c r="I460">
        <v>4</v>
      </c>
      <c r="J460" t="s">
        <v>47</v>
      </c>
      <c r="K460" t="s">
        <v>24</v>
      </c>
      <c r="L460">
        <v>32</v>
      </c>
      <c r="M460" t="str">
        <f t="shared" si="7"/>
        <v>Middle age 31-54</v>
      </c>
      <c r="N460" t="s">
        <v>15</v>
      </c>
    </row>
    <row r="461" spans="1:14" x14ac:dyDescent="0.25">
      <c r="A461">
        <v>21554</v>
      </c>
      <c r="B461" t="s">
        <v>37</v>
      </c>
      <c r="C461" t="s">
        <v>39</v>
      </c>
      <c r="D461" s="3">
        <v>80000</v>
      </c>
      <c r="E461">
        <v>0</v>
      </c>
      <c r="F461" t="s">
        <v>13</v>
      </c>
      <c r="G461" t="s">
        <v>21</v>
      </c>
      <c r="H461" t="s">
        <v>18</v>
      </c>
      <c r="I461">
        <v>3</v>
      </c>
      <c r="J461" t="s">
        <v>47</v>
      </c>
      <c r="K461" t="s">
        <v>24</v>
      </c>
      <c r="L461">
        <v>33</v>
      </c>
      <c r="M461" t="str">
        <f t="shared" si="7"/>
        <v>Middle age 31-54</v>
      </c>
      <c r="N461" t="s">
        <v>18</v>
      </c>
    </row>
    <row r="462" spans="1:14" x14ac:dyDescent="0.25">
      <c r="A462">
        <v>13662</v>
      </c>
      <c r="B462" t="s">
        <v>37</v>
      </c>
      <c r="C462" t="s">
        <v>40</v>
      </c>
      <c r="D462" s="3">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40</v>
      </c>
      <c r="D465" s="3">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36</v>
      </c>
      <c r="C467" t="s">
        <v>40</v>
      </c>
      <c r="D467" s="3">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40</v>
      </c>
      <c r="D469" s="3">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40</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40</v>
      </c>
      <c r="D473" s="3">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36</v>
      </c>
      <c r="C477" t="s">
        <v>40</v>
      </c>
      <c r="D477" s="3">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36</v>
      </c>
      <c r="C479" t="s">
        <v>40</v>
      </c>
      <c r="D479" s="3">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36</v>
      </c>
      <c r="C480" t="s">
        <v>40</v>
      </c>
      <c r="D480" s="3">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36</v>
      </c>
      <c r="C481" t="s">
        <v>40</v>
      </c>
      <c r="D481" s="3">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40</v>
      </c>
      <c r="D484" s="3">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36</v>
      </c>
      <c r="C485" t="s">
        <v>40</v>
      </c>
      <c r="D485" s="3">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40</v>
      </c>
      <c r="D487" s="3">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36</v>
      </c>
      <c r="C488" t="s">
        <v>39</v>
      </c>
      <c r="D488" s="3">
        <v>90000</v>
      </c>
      <c r="E488">
        <v>4</v>
      </c>
      <c r="F488" t="s">
        <v>29</v>
      </c>
      <c r="G488" t="s">
        <v>14</v>
      </c>
      <c r="H488" t="s">
        <v>15</v>
      </c>
      <c r="I488">
        <v>4</v>
      </c>
      <c r="J488" t="s">
        <v>47</v>
      </c>
      <c r="K488" t="s">
        <v>17</v>
      </c>
      <c r="L488">
        <v>58</v>
      </c>
      <c r="M488" t="str">
        <f t="shared" si="7"/>
        <v>Old 55+</v>
      </c>
      <c r="N488" t="s">
        <v>18</v>
      </c>
    </row>
    <row r="489" spans="1:14" x14ac:dyDescent="0.25">
      <c r="A489">
        <v>12821</v>
      </c>
      <c r="B489" t="s">
        <v>36</v>
      </c>
      <c r="C489" t="s">
        <v>40</v>
      </c>
      <c r="D489" s="3">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36</v>
      </c>
      <c r="C491" t="s">
        <v>40</v>
      </c>
      <c r="D491" s="3">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36</v>
      </c>
      <c r="C492" t="s">
        <v>40</v>
      </c>
      <c r="D492" s="3">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36</v>
      </c>
      <c r="C493" t="s">
        <v>40</v>
      </c>
      <c r="D493" s="3">
        <v>70000</v>
      </c>
      <c r="E493">
        <v>2</v>
      </c>
      <c r="F493" t="s">
        <v>29</v>
      </c>
      <c r="G493" t="s">
        <v>14</v>
      </c>
      <c r="H493" t="s">
        <v>15</v>
      </c>
      <c r="I493">
        <v>2</v>
      </c>
      <c r="J493" t="s">
        <v>23</v>
      </c>
      <c r="K493" t="s">
        <v>32</v>
      </c>
      <c r="L493">
        <v>48</v>
      </c>
      <c r="M493" t="str">
        <f t="shared" si="7"/>
        <v>Middle age 31-54</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40</v>
      </c>
      <c r="D495" s="3">
        <v>70000</v>
      </c>
      <c r="E495">
        <v>5</v>
      </c>
      <c r="F495" t="s">
        <v>13</v>
      </c>
      <c r="G495" t="s">
        <v>28</v>
      </c>
      <c r="H495" t="s">
        <v>15</v>
      </c>
      <c r="I495">
        <v>3</v>
      </c>
      <c r="J495" t="s">
        <v>47</v>
      </c>
      <c r="K495" t="s">
        <v>32</v>
      </c>
      <c r="L495">
        <v>60</v>
      </c>
      <c r="M495" t="str">
        <f t="shared" si="7"/>
        <v>Old 55+</v>
      </c>
      <c r="N495" t="s">
        <v>15</v>
      </c>
    </row>
    <row r="496" spans="1:14" x14ac:dyDescent="0.25">
      <c r="A496">
        <v>27650</v>
      </c>
      <c r="B496" t="s">
        <v>36</v>
      </c>
      <c r="C496" t="s">
        <v>40</v>
      </c>
      <c r="D496" s="3">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36</v>
      </c>
      <c r="C497" t="s">
        <v>40</v>
      </c>
      <c r="D497" s="3">
        <v>60000</v>
      </c>
      <c r="E497">
        <v>2</v>
      </c>
      <c r="F497" t="s">
        <v>19</v>
      </c>
      <c r="G497" t="s">
        <v>21</v>
      </c>
      <c r="H497" t="s">
        <v>15</v>
      </c>
      <c r="I497">
        <v>2</v>
      </c>
      <c r="J497" t="s">
        <v>47</v>
      </c>
      <c r="K497" t="s">
        <v>32</v>
      </c>
      <c r="L497">
        <v>56</v>
      </c>
      <c r="M497" t="str">
        <f t="shared" si="7"/>
        <v>Old 55+</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36</v>
      </c>
      <c r="C500" t="s">
        <v>40</v>
      </c>
      <c r="D500" s="3">
        <v>80000</v>
      </c>
      <c r="E500">
        <v>1</v>
      </c>
      <c r="F500" t="s">
        <v>19</v>
      </c>
      <c r="G500" t="s">
        <v>14</v>
      </c>
      <c r="H500" t="s">
        <v>15</v>
      </c>
      <c r="I500">
        <v>1</v>
      </c>
      <c r="J500" t="s">
        <v>22</v>
      </c>
      <c r="K500" t="s">
        <v>32</v>
      </c>
      <c r="L500">
        <v>48</v>
      </c>
      <c r="M500" t="str">
        <f t="shared" si="7"/>
        <v>Middle age 31-54</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25">
      <c r="A502">
        <v>15559</v>
      </c>
      <c r="B502" t="s">
        <v>36</v>
      </c>
      <c r="C502" t="s">
        <v>40</v>
      </c>
      <c r="D502" s="3">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25">
      <c r="A504">
        <v>15275</v>
      </c>
      <c r="B504" t="s">
        <v>36</v>
      </c>
      <c r="C504" t="s">
        <v>40</v>
      </c>
      <c r="D504" s="3">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25">
      <c r="A506">
        <v>25405</v>
      </c>
      <c r="B506" t="s">
        <v>36</v>
      </c>
      <c r="C506" t="s">
        <v>40</v>
      </c>
      <c r="D506" s="3">
        <v>70000</v>
      </c>
      <c r="E506">
        <v>2</v>
      </c>
      <c r="F506" t="s">
        <v>13</v>
      </c>
      <c r="G506" t="s">
        <v>14</v>
      </c>
      <c r="H506" t="s">
        <v>15</v>
      </c>
      <c r="I506">
        <v>1</v>
      </c>
      <c r="J506" t="s">
        <v>22</v>
      </c>
      <c r="K506" t="s">
        <v>32</v>
      </c>
      <c r="L506">
        <v>38</v>
      </c>
      <c r="M506" t="str">
        <f t="shared" si="7"/>
        <v>Middle age 31-54</v>
      </c>
      <c r="N506" t="s">
        <v>15</v>
      </c>
    </row>
    <row r="507" spans="1:14" x14ac:dyDescent="0.25">
      <c r="A507">
        <v>15940</v>
      </c>
      <c r="B507" t="s">
        <v>36</v>
      </c>
      <c r="C507" t="s">
        <v>40</v>
      </c>
      <c r="D507" s="3">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36</v>
      </c>
      <c r="C510" t="s">
        <v>40</v>
      </c>
      <c r="D510" s="3">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40</v>
      </c>
      <c r="D511" s="3">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40</v>
      </c>
      <c r="D512" s="3">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40</v>
      </c>
      <c r="D513" s="3">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25">
      <c r="A515">
        <v>13353</v>
      </c>
      <c r="B515" t="s">
        <v>37</v>
      </c>
      <c r="C515" t="s">
        <v>39</v>
      </c>
      <c r="D515" s="3">
        <v>60000</v>
      </c>
      <c r="E515">
        <v>4</v>
      </c>
      <c r="F515" t="s">
        <v>31</v>
      </c>
      <c r="G515" t="s">
        <v>28</v>
      </c>
      <c r="H515" t="s">
        <v>15</v>
      </c>
      <c r="I515">
        <v>2</v>
      </c>
      <c r="J515" t="s">
        <v>47</v>
      </c>
      <c r="K515" t="s">
        <v>32</v>
      </c>
      <c r="L515">
        <v>61</v>
      </c>
      <c r="M515" t="str">
        <f t="shared" ref="M515:M578" si="8">IF(L515&gt;55,"Old 55+",IF(L515&gt;=31,"Middle age 31-54",IF(L515&lt;31,"Adolescent 0-30","Invalid")))</f>
        <v>Old 55+</v>
      </c>
      <c r="N515" t="s">
        <v>15</v>
      </c>
    </row>
    <row r="516" spans="1:14" x14ac:dyDescent="0.25">
      <c r="A516">
        <v>19399</v>
      </c>
      <c r="B516" t="s">
        <v>37</v>
      </c>
      <c r="C516" t="s">
        <v>40</v>
      </c>
      <c r="D516" s="3">
        <v>40000</v>
      </c>
      <c r="E516">
        <v>0</v>
      </c>
      <c r="F516" t="s">
        <v>13</v>
      </c>
      <c r="G516" t="s">
        <v>21</v>
      </c>
      <c r="H516" t="s">
        <v>18</v>
      </c>
      <c r="I516">
        <v>1</v>
      </c>
      <c r="J516" t="s">
        <v>22</v>
      </c>
      <c r="K516" t="s">
        <v>32</v>
      </c>
      <c r="L516">
        <v>45</v>
      </c>
      <c r="M516" t="str">
        <f t="shared" si="8"/>
        <v>Middle age 31-54</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40</v>
      </c>
      <c r="D519" s="3">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25">
      <c r="A521">
        <v>15740</v>
      </c>
      <c r="B521" t="s">
        <v>36</v>
      </c>
      <c r="C521" t="s">
        <v>40</v>
      </c>
      <c r="D521" s="3">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40</v>
      </c>
      <c r="D522" s="3">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40</v>
      </c>
      <c r="D523" s="3">
        <v>40000</v>
      </c>
      <c r="E523">
        <v>4</v>
      </c>
      <c r="F523" t="s">
        <v>27</v>
      </c>
      <c r="G523" t="s">
        <v>21</v>
      </c>
      <c r="H523" t="s">
        <v>15</v>
      </c>
      <c r="I523">
        <v>2</v>
      </c>
      <c r="J523" t="s">
        <v>47</v>
      </c>
      <c r="K523" t="s">
        <v>32</v>
      </c>
      <c r="L523">
        <v>62</v>
      </c>
      <c r="M523" t="str">
        <f t="shared" si="8"/>
        <v>Old 55+</v>
      </c>
      <c r="N523" t="s">
        <v>15</v>
      </c>
    </row>
    <row r="524" spans="1:14" x14ac:dyDescent="0.25">
      <c r="A524">
        <v>19413</v>
      </c>
      <c r="B524" t="s">
        <v>37</v>
      </c>
      <c r="C524" t="s">
        <v>40</v>
      </c>
      <c r="D524" s="3">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36</v>
      </c>
      <c r="C525" t="s">
        <v>40</v>
      </c>
      <c r="D525" s="3">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40</v>
      </c>
      <c r="D527" s="3">
        <v>60000</v>
      </c>
      <c r="E527">
        <v>5</v>
      </c>
      <c r="F527" t="s">
        <v>13</v>
      </c>
      <c r="G527" t="s">
        <v>28</v>
      </c>
      <c r="H527" t="s">
        <v>15</v>
      </c>
      <c r="I527">
        <v>3</v>
      </c>
      <c r="J527" t="s">
        <v>47</v>
      </c>
      <c r="K527" t="s">
        <v>32</v>
      </c>
      <c r="L527">
        <v>59</v>
      </c>
      <c r="M527" t="str">
        <f t="shared" si="8"/>
        <v>Old 55+</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25">
      <c r="A529">
        <v>11641</v>
      </c>
      <c r="B529" t="s">
        <v>36</v>
      </c>
      <c r="C529" t="s">
        <v>40</v>
      </c>
      <c r="D529" s="3">
        <v>50000</v>
      </c>
      <c r="E529">
        <v>1</v>
      </c>
      <c r="F529" t="s">
        <v>13</v>
      </c>
      <c r="G529" t="s">
        <v>14</v>
      </c>
      <c r="H529" t="s">
        <v>15</v>
      </c>
      <c r="I529">
        <v>0</v>
      </c>
      <c r="J529" t="s">
        <v>16</v>
      </c>
      <c r="K529" t="s">
        <v>32</v>
      </c>
      <c r="L529">
        <v>36</v>
      </c>
      <c r="M529" t="str">
        <f t="shared" si="8"/>
        <v>Middle age 31-54</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40</v>
      </c>
      <c r="D531" s="3">
        <v>60000</v>
      </c>
      <c r="E531">
        <v>2</v>
      </c>
      <c r="F531" t="s">
        <v>19</v>
      </c>
      <c r="G531" t="s">
        <v>21</v>
      </c>
      <c r="H531" t="s">
        <v>15</v>
      </c>
      <c r="I531">
        <v>1</v>
      </c>
      <c r="J531" t="s">
        <v>47</v>
      </c>
      <c r="K531" t="s">
        <v>32</v>
      </c>
      <c r="L531">
        <v>57</v>
      </c>
      <c r="M531" t="str">
        <f t="shared" si="8"/>
        <v>Old 55+</v>
      </c>
      <c r="N531" t="s">
        <v>15</v>
      </c>
    </row>
    <row r="532" spans="1:14" x14ac:dyDescent="0.25">
      <c r="A532">
        <v>25909</v>
      </c>
      <c r="B532" t="s">
        <v>36</v>
      </c>
      <c r="C532" t="s">
        <v>40</v>
      </c>
      <c r="D532" s="3">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40</v>
      </c>
      <c r="D533" s="3">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36</v>
      </c>
      <c r="C535" t="s">
        <v>40</v>
      </c>
      <c r="D535" s="3">
        <v>60000</v>
      </c>
      <c r="E535">
        <v>3</v>
      </c>
      <c r="F535" t="s">
        <v>13</v>
      </c>
      <c r="G535" t="s">
        <v>28</v>
      </c>
      <c r="H535" t="s">
        <v>15</v>
      </c>
      <c r="I535">
        <v>2</v>
      </c>
      <c r="J535" t="s">
        <v>47</v>
      </c>
      <c r="K535" t="s">
        <v>32</v>
      </c>
      <c r="L535">
        <v>66</v>
      </c>
      <c r="M535" t="str">
        <f t="shared" si="8"/>
        <v>Old 55+</v>
      </c>
      <c r="N535" t="s">
        <v>18</v>
      </c>
    </row>
    <row r="536" spans="1:14" x14ac:dyDescent="0.25">
      <c r="A536">
        <v>24637</v>
      </c>
      <c r="B536" t="s">
        <v>36</v>
      </c>
      <c r="C536" t="s">
        <v>40</v>
      </c>
      <c r="D536" s="3">
        <v>40000</v>
      </c>
      <c r="E536">
        <v>4</v>
      </c>
      <c r="F536" t="s">
        <v>27</v>
      </c>
      <c r="G536" t="s">
        <v>21</v>
      </c>
      <c r="H536" t="s">
        <v>15</v>
      </c>
      <c r="I536">
        <v>2</v>
      </c>
      <c r="J536" t="s">
        <v>47</v>
      </c>
      <c r="K536" t="s">
        <v>32</v>
      </c>
      <c r="L536">
        <v>64</v>
      </c>
      <c r="M536" t="str">
        <f t="shared" si="8"/>
        <v>Old 55+</v>
      </c>
      <c r="N536" t="s">
        <v>18</v>
      </c>
    </row>
    <row r="537" spans="1:14" x14ac:dyDescent="0.25">
      <c r="A537">
        <v>23893</v>
      </c>
      <c r="B537" t="s">
        <v>36</v>
      </c>
      <c r="C537" t="s">
        <v>40</v>
      </c>
      <c r="D537" s="3">
        <v>50000</v>
      </c>
      <c r="E537">
        <v>3</v>
      </c>
      <c r="F537" t="s">
        <v>13</v>
      </c>
      <c r="G537" t="s">
        <v>14</v>
      </c>
      <c r="H537" t="s">
        <v>15</v>
      </c>
      <c r="I537">
        <v>3</v>
      </c>
      <c r="J537" t="s">
        <v>47</v>
      </c>
      <c r="K537" t="s">
        <v>32</v>
      </c>
      <c r="L537">
        <v>41</v>
      </c>
      <c r="M537" t="str">
        <f t="shared" si="8"/>
        <v>Middle age 31-54</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25">
      <c r="A543">
        <v>25375</v>
      </c>
      <c r="B543" t="s">
        <v>36</v>
      </c>
      <c r="C543" t="s">
        <v>40</v>
      </c>
      <c r="D543" s="3">
        <v>50000</v>
      </c>
      <c r="E543">
        <v>1</v>
      </c>
      <c r="F543" t="s">
        <v>31</v>
      </c>
      <c r="G543" t="s">
        <v>14</v>
      </c>
      <c r="H543" t="s">
        <v>15</v>
      </c>
      <c r="I543">
        <v>0</v>
      </c>
      <c r="J543" t="s">
        <v>26</v>
      </c>
      <c r="K543" t="s">
        <v>32</v>
      </c>
      <c r="L543">
        <v>34</v>
      </c>
      <c r="M543" t="str">
        <f t="shared" si="8"/>
        <v>Middle age 31-54</v>
      </c>
      <c r="N543" t="s">
        <v>18</v>
      </c>
    </row>
    <row r="544" spans="1:14" x14ac:dyDescent="0.25">
      <c r="A544">
        <v>11143</v>
      </c>
      <c r="B544" t="s">
        <v>36</v>
      </c>
      <c r="C544" t="s">
        <v>40</v>
      </c>
      <c r="D544" s="3">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40</v>
      </c>
      <c r="D546" s="3">
        <v>120000</v>
      </c>
      <c r="E546">
        <v>2</v>
      </c>
      <c r="F546" t="s">
        <v>13</v>
      </c>
      <c r="G546" t="s">
        <v>28</v>
      </c>
      <c r="H546" t="s">
        <v>18</v>
      </c>
      <c r="I546">
        <v>4</v>
      </c>
      <c r="J546" t="s">
        <v>26</v>
      </c>
      <c r="K546" t="s">
        <v>32</v>
      </c>
      <c r="L546">
        <v>40</v>
      </c>
      <c r="M546" t="str">
        <f t="shared" si="8"/>
        <v>Middle age 31-54</v>
      </c>
      <c r="N546" t="s">
        <v>18</v>
      </c>
    </row>
    <row r="547" spans="1:14" x14ac:dyDescent="0.25">
      <c r="A547">
        <v>19758</v>
      </c>
      <c r="B547" t="s">
        <v>37</v>
      </c>
      <c r="C547" t="s">
        <v>40</v>
      </c>
      <c r="D547" s="3">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40</v>
      </c>
      <c r="D548" s="3">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36</v>
      </c>
      <c r="C549" t="s">
        <v>40</v>
      </c>
      <c r="D549" s="3">
        <v>60000</v>
      </c>
      <c r="E549">
        <v>2</v>
      </c>
      <c r="F549" t="s">
        <v>27</v>
      </c>
      <c r="G549" t="s">
        <v>21</v>
      </c>
      <c r="H549" t="s">
        <v>15</v>
      </c>
      <c r="I549">
        <v>2</v>
      </c>
      <c r="J549" t="s">
        <v>22</v>
      </c>
      <c r="K549" t="s">
        <v>32</v>
      </c>
      <c r="L549">
        <v>55</v>
      </c>
      <c r="M549" t="str">
        <f t="shared" si="8"/>
        <v>Middle age 31-54</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36</v>
      </c>
      <c r="C553" t="s">
        <v>39</v>
      </c>
      <c r="D553" s="3">
        <v>50000</v>
      </c>
      <c r="E553">
        <v>4</v>
      </c>
      <c r="F553" t="s">
        <v>13</v>
      </c>
      <c r="G553" t="s">
        <v>28</v>
      </c>
      <c r="H553" t="s">
        <v>15</v>
      </c>
      <c r="I553">
        <v>2</v>
      </c>
      <c r="J553" t="s">
        <v>47</v>
      </c>
      <c r="K553" t="s">
        <v>32</v>
      </c>
      <c r="L553">
        <v>63</v>
      </c>
      <c r="M553" t="str">
        <f t="shared" si="8"/>
        <v>Old 55+</v>
      </c>
      <c r="N553" t="s">
        <v>18</v>
      </c>
    </row>
    <row r="554" spans="1:14" x14ac:dyDescent="0.25">
      <c r="A554">
        <v>14417</v>
      </c>
      <c r="B554" t="s">
        <v>37</v>
      </c>
      <c r="C554" t="s">
        <v>40</v>
      </c>
      <c r="D554" s="3">
        <v>60000</v>
      </c>
      <c r="E554">
        <v>3</v>
      </c>
      <c r="F554" t="s">
        <v>27</v>
      </c>
      <c r="G554" t="s">
        <v>21</v>
      </c>
      <c r="H554" t="s">
        <v>15</v>
      </c>
      <c r="I554">
        <v>2</v>
      </c>
      <c r="J554" t="s">
        <v>47</v>
      </c>
      <c r="K554" t="s">
        <v>32</v>
      </c>
      <c r="L554">
        <v>54</v>
      </c>
      <c r="M554" t="str">
        <f t="shared" si="8"/>
        <v>Middle age 31-54</v>
      </c>
      <c r="N554" t="s">
        <v>15</v>
      </c>
    </row>
    <row r="555" spans="1:14" x14ac:dyDescent="0.25">
      <c r="A555">
        <v>17533</v>
      </c>
      <c r="B555" t="s">
        <v>36</v>
      </c>
      <c r="C555" t="s">
        <v>40</v>
      </c>
      <c r="D555" s="3">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40</v>
      </c>
      <c r="D557" s="3">
        <v>50000</v>
      </c>
      <c r="E557">
        <v>0</v>
      </c>
      <c r="F557" t="s">
        <v>19</v>
      </c>
      <c r="G557" t="s">
        <v>14</v>
      </c>
      <c r="H557" t="s">
        <v>18</v>
      </c>
      <c r="I557">
        <v>1</v>
      </c>
      <c r="J557" t="s">
        <v>22</v>
      </c>
      <c r="K557" t="s">
        <v>32</v>
      </c>
      <c r="L557">
        <v>39</v>
      </c>
      <c r="M557" t="str">
        <f t="shared" si="8"/>
        <v>Middle age 31-54</v>
      </c>
      <c r="N557" t="s">
        <v>15</v>
      </c>
    </row>
    <row r="558" spans="1:14" x14ac:dyDescent="0.25">
      <c r="A558">
        <v>25293</v>
      </c>
      <c r="B558" t="s">
        <v>36</v>
      </c>
      <c r="C558" t="s">
        <v>40</v>
      </c>
      <c r="D558" s="3">
        <v>80000</v>
      </c>
      <c r="E558">
        <v>4</v>
      </c>
      <c r="F558" t="s">
        <v>13</v>
      </c>
      <c r="G558" t="s">
        <v>28</v>
      </c>
      <c r="H558" t="s">
        <v>15</v>
      </c>
      <c r="I558">
        <v>0</v>
      </c>
      <c r="J558" t="s">
        <v>26</v>
      </c>
      <c r="K558" t="s">
        <v>32</v>
      </c>
      <c r="L558">
        <v>42</v>
      </c>
      <c r="M558" t="str">
        <f t="shared" si="8"/>
        <v>Middle age 31-54</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25">
      <c r="A561">
        <v>15895</v>
      </c>
      <c r="B561" t="s">
        <v>37</v>
      </c>
      <c r="C561" t="s">
        <v>39</v>
      </c>
      <c r="D561" s="3">
        <v>60000</v>
      </c>
      <c r="E561">
        <v>2</v>
      </c>
      <c r="F561" t="s">
        <v>13</v>
      </c>
      <c r="G561" t="s">
        <v>28</v>
      </c>
      <c r="H561" t="s">
        <v>15</v>
      </c>
      <c r="I561">
        <v>0</v>
      </c>
      <c r="J561" t="s">
        <v>47</v>
      </c>
      <c r="K561" t="s">
        <v>32</v>
      </c>
      <c r="L561">
        <v>58</v>
      </c>
      <c r="M561" t="str">
        <f t="shared" si="8"/>
        <v>Old 55+</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40</v>
      </c>
      <c r="D566" s="3">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40</v>
      </c>
      <c r="D567" s="3">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40</v>
      </c>
      <c r="D569" s="3">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36</v>
      </c>
      <c r="C570" t="s">
        <v>40</v>
      </c>
      <c r="D570" s="3">
        <v>70000</v>
      </c>
      <c r="E570">
        <v>1</v>
      </c>
      <c r="F570" t="s">
        <v>19</v>
      </c>
      <c r="G570" t="s">
        <v>14</v>
      </c>
      <c r="H570" t="s">
        <v>15</v>
      </c>
      <c r="I570">
        <v>1</v>
      </c>
      <c r="J570" t="s">
        <v>22</v>
      </c>
      <c r="K570" t="s">
        <v>32</v>
      </c>
      <c r="L570">
        <v>44</v>
      </c>
      <c r="M570" t="str">
        <f t="shared" si="8"/>
        <v>Middle age 31-54</v>
      </c>
      <c r="N570" t="s">
        <v>15</v>
      </c>
    </row>
    <row r="571" spans="1:14" x14ac:dyDescent="0.25">
      <c r="A571">
        <v>26452</v>
      </c>
      <c r="B571" t="s">
        <v>37</v>
      </c>
      <c r="C571" t="s">
        <v>40</v>
      </c>
      <c r="D571" s="3">
        <v>50000</v>
      </c>
      <c r="E571">
        <v>3</v>
      </c>
      <c r="F571" t="s">
        <v>31</v>
      </c>
      <c r="G571" t="s">
        <v>28</v>
      </c>
      <c r="H571" t="s">
        <v>15</v>
      </c>
      <c r="I571">
        <v>2</v>
      </c>
      <c r="J571" t="s">
        <v>47</v>
      </c>
      <c r="K571" t="s">
        <v>32</v>
      </c>
      <c r="L571">
        <v>69</v>
      </c>
      <c r="M571" t="str">
        <f t="shared" si="8"/>
        <v>Old 55+</v>
      </c>
      <c r="N571" t="s">
        <v>18</v>
      </c>
    </row>
    <row r="572" spans="1:14" x14ac:dyDescent="0.25">
      <c r="A572">
        <v>20370</v>
      </c>
      <c r="B572" t="s">
        <v>36</v>
      </c>
      <c r="C572" t="s">
        <v>40</v>
      </c>
      <c r="D572" s="3">
        <v>70000</v>
      </c>
      <c r="E572">
        <v>3</v>
      </c>
      <c r="F572" t="s">
        <v>29</v>
      </c>
      <c r="G572" t="s">
        <v>14</v>
      </c>
      <c r="H572" t="s">
        <v>15</v>
      </c>
      <c r="I572">
        <v>2</v>
      </c>
      <c r="J572" t="s">
        <v>23</v>
      </c>
      <c r="K572" t="s">
        <v>32</v>
      </c>
      <c r="L572">
        <v>52</v>
      </c>
      <c r="M572" t="str">
        <f t="shared" si="8"/>
        <v>Middle age 31-54</v>
      </c>
      <c r="N572" t="s">
        <v>18</v>
      </c>
    </row>
    <row r="573" spans="1:14" x14ac:dyDescent="0.25">
      <c r="A573">
        <v>20528</v>
      </c>
      <c r="B573" t="s">
        <v>36</v>
      </c>
      <c r="C573" t="s">
        <v>40</v>
      </c>
      <c r="D573" s="3">
        <v>40000</v>
      </c>
      <c r="E573">
        <v>2</v>
      </c>
      <c r="F573" t="s">
        <v>29</v>
      </c>
      <c r="G573" t="s">
        <v>14</v>
      </c>
      <c r="H573" t="s">
        <v>15</v>
      </c>
      <c r="I573">
        <v>2</v>
      </c>
      <c r="J573" t="s">
        <v>22</v>
      </c>
      <c r="K573" t="s">
        <v>32</v>
      </c>
      <c r="L573">
        <v>55</v>
      </c>
      <c r="M573" t="str">
        <f t="shared" si="8"/>
        <v>Middle age 31-54</v>
      </c>
      <c r="N573" t="s">
        <v>18</v>
      </c>
    </row>
    <row r="574" spans="1:14" x14ac:dyDescent="0.25">
      <c r="A574">
        <v>23549</v>
      </c>
      <c r="B574" t="s">
        <v>37</v>
      </c>
      <c r="C574" t="s">
        <v>40</v>
      </c>
      <c r="D574" s="3">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40</v>
      </c>
      <c r="D575" s="3">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25">
      <c r="A577">
        <v>13388</v>
      </c>
      <c r="B577" t="s">
        <v>37</v>
      </c>
      <c r="C577" t="s">
        <v>40</v>
      </c>
      <c r="D577" s="3">
        <v>60000</v>
      </c>
      <c r="E577">
        <v>2</v>
      </c>
      <c r="F577" t="s">
        <v>19</v>
      </c>
      <c r="G577" t="s">
        <v>21</v>
      </c>
      <c r="H577" t="s">
        <v>15</v>
      </c>
      <c r="I577">
        <v>1</v>
      </c>
      <c r="J577" t="s">
        <v>47</v>
      </c>
      <c r="K577" t="s">
        <v>32</v>
      </c>
      <c r="L577">
        <v>56</v>
      </c>
      <c r="M577" t="str">
        <f t="shared" si="8"/>
        <v>Old 55+</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25">
      <c r="A579">
        <v>16917</v>
      </c>
      <c r="B579" t="s">
        <v>36</v>
      </c>
      <c r="C579" t="s">
        <v>40</v>
      </c>
      <c r="D579" s="3">
        <v>120000</v>
      </c>
      <c r="E579">
        <v>1</v>
      </c>
      <c r="F579" t="s">
        <v>13</v>
      </c>
      <c r="G579" t="s">
        <v>28</v>
      </c>
      <c r="H579" t="s">
        <v>15</v>
      </c>
      <c r="I579">
        <v>4</v>
      </c>
      <c r="J579" t="s">
        <v>16</v>
      </c>
      <c r="K579" t="s">
        <v>32</v>
      </c>
      <c r="L579">
        <v>38</v>
      </c>
      <c r="M579" t="str">
        <f t="shared" ref="M579:M642" si="9">IF(L579&gt;55,"Old 55+",IF(L579&gt;=31,"Middle age 31-54",IF(L579&lt;31,"Adolescent 0-30","Invalid")))</f>
        <v>Middle age 31-54</v>
      </c>
      <c r="N579" t="s">
        <v>18</v>
      </c>
    </row>
    <row r="580" spans="1:14" x14ac:dyDescent="0.25">
      <c r="A580">
        <v>15313</v>
      </c>
      <c r="B580" t="s">
        <v>36</v>
      </c>
      <c r="C580" t="s">
        <v>40</v>
      </c>
      <c r="D580" s="3">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36</v>
      </c>
      <c r="C582" t="s">
        <v>39</v>
      </c>
      <c r="D582" s="3">
        <v>60000</v>
      </c>
      <c r="E582">
        <v>3</v>
      </c>
      <c r="F582" t="s">
        <v>31</v>
      </c>
      <c r="G582" t="s">
        <v>28</v>
      </c>
      <c r="H582" t="s">
        <v>15</v>
      </c>
      <c r="I582">
        <v>2</v>
      </c>
      <c r="J582" t="s">
        <v>47</v>
      </c>
      <c r="K582" t="s">
        <v>32</v>
      </c>
      <c r="L582">
        <v>69</v>
      </c>
      <c r="M582" t="str">
        <f t="shared" si="9"/>
        <v>Old 55+</v>
      </c>
      <c r="N582" t="s">
        <v>18</v>
      </c>
    </row>
    <row r="583" spans="1:14" x14ac:dyDescent="0.25">
      <c r="A583">
        <v>23089</v>
      </c>
      <c r="B583" t="s">
        <v>36</v>
      </c>
      <c r="C583" t="s">
        <v>40</v>
      </c>
      <c r="D583" s="3">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40</v>
      </c>
      <c r="D584" s="3">
        <v>80000</v>
      </c>
      <c r="E584">
        <v>4</v>
      </c>
      <c r="F584" t="s">
        <v>31</v>
      </c>
      <c r="G584" t="s">
        <v>14</v>
      </c>
      <c r="H584" t="s">
        <v>15</v>
      </c>
      <c r="I584">
        <v>0</v>
      </c>
      <c r="J584" t="s">
        <v>26</v>
      </c>
      <c r="K584" t="s">
        <v>32</v>
      </c>
      <c r="L584">
        <v>47</v>
      </c>
      <c r="M584" t="str">
        <f t="shared" si="9"/>
        <v>Middle age 31-54</v>
      </c>
      <c r="N584" t="s">
        <v>18</v>
      </c>
    </row>
    <row r="585" spans="1:14" x14ac:dyDescent="0.25">
      <c r="A585">
        <v>24943</v>
      </c>
      <c r="B585" t="s">
        <v>36</v>
      </c>
      <c r="C585" t="s">
        <v>40</v>
      </c>
      <c r="D585" s="3">
        <v>60000</v>
      </c>
      <c r="E585">
        <v>3</v>
      </c>
      <c r="F585" t="s">
        <v>13</v>
      </c>
      <c r="G585" t="s">
        <v>28</v>
      </c>
      <c r="H585" t="s">
        <v>15</v>
      </c>
      <c r="I585">
        <v>2</v>
      </c>
      <c r="J585" t="s">
        <v>47</v>
      </c>
      <c r="K585" t="s">
        <v>32</v>
      </c>
      <c r="L585">
        <v>66</v>
      </c>
      <c r="M585" t="str">
        <f t="shared" si="9"/>
        <v>Old 55+</v>
      </c>
      <c r="N585" t="s">
        <v>18</v>
      </c>
    </row>
    <row r="586" spans="1:14" x14ac:dyDescent="0.25">
      <c r="A586">
        <v>28667</v>
      </c>
      <c r="B586" t="s">
        <v>37</v>
      </c>
      <c r="C586" t="s">
        <v>40</v>
      </c>
      <c r="D586" s="3">
        <v>70000</v>
      </c>
      <c r="E586">
        <v>2</v>
      </c>
      <c r="F586" t="s">
        <v>13</v>
      </c>
      <c r="G586" t="s">
        <v>14</v>
      </c>
      <c r="H586" t="s">
        <v>18</v>
      </c>
      <c r="I586">
        <v>1</v>
      </c>
      <c r="J586" t="s">
        <v>16</v>
      </c>
      <c r="K586" t="s">
        <v>32</v>
      </c>
      <c r="L586">
        <v>37</v>
      </c>
      <c r="M586" t="str">
        <f t="shared" si="9"/>
        <v>Middle age 31-54</v>
      </c>
      <c r="N586" t="s">
        <v>15</v>
      </c>
    </row>
    <row r="587" spans="1:14" x14ac:dyDescent="0.25">
      <c r="A587">
        <v>15194</v>
      </c>
      <c r="B587" t="s">
        <v>37</v>
      </c>
      <c r="C587" t="s">
        <v>40</v>
      </c>
      <c r="D587" s="3">
        <v>120000</v>
      </c>
      <c r="E587">
        <v>2</v>
      </c>
      <c r="F587" t="s">
        <v>13</v>
      </c>
      <c r="G587" t="s">
        <v>28</v>
      </c>
      <c r="H587" t="s">
        <v>18</v>
      </c>
      <c r="I587">
        <v>3</v>
      </c>
      <c r="J587" t="s">
        <v>16</v>
      </c>
      <c r="K587" t="s">
        <v>32</v>
      </c>
      <c r="L587">
        <v>39</v>
      </c>
      <c r="M587" t="str">
        <f t="shared" si="9"/>
        <v>Middle age 31-54</v>
      </c>
      <c r="N587" t="s">
        <v>15</v>
      </c>
    </row>
    <row r="588" spans="1:14" x14ac:dyDescent="0.25">
      <c r="A588">
        <v>17436</v>
      </c>
      <c r="B588" t="s">
        <v>36</v>
      </c>
      <c r="C588" t="s">
        <v>40</v>
      </c>
      <c r="D588" s="3">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25">
      <c r="A590">
        <v>16871</v>
      </c>
      <c r="B590" t="s">
        <v>36</v>
      </c>
      <c r="C590" t="s">
        <v>39</v>
      </c>
      <c r="D590" s="3">
        <v>90000</v>
      </c>
      <c r="E590">
        <v>2</v>
      </c>
      <c r="F590" t="s">
        <v>27</v>
      </c>
      <c r="G590" t="s">
        <v>21</v>
      </c>
      <c r="H590" t="s">
        <v>15</v>
      </c>
      <c r="I590">
        <v>1</v>
      </c>
      <c r="J590" t="s">
        <v>47</v>
      </c>
      <c r="K590" t="s">
        <v>32</v>
      </c>
      <c r="L590">
        <v>51</v>
      </c>
      <c r="M590" t="str">
        <f t="shared" si="9"/>
        <v>Middle age 31-54</v>
      </c>
      <c r="N590" t="s">
        <v>15</v>
      </c>
    </row>
    <row r="591" spans="1:14" x14ac:dyDescent="0.25">
      <c r="A591">
        <v>12100</v>
      </c>
      <c r="B591" t="s">
        <v>37</v>
      </c>
      <c r="C591" t="s">
        <v>40</v>
      </c>
      <c r="D591" s="3">
        <v>60000</v>
      </c>
      <c r="E591">
        <v>2</v>
      </c>
      <c r="F591" t="s">
        <v>13</v>
      </c>
      <c r="G591" t="s">
        <v>28</v>
      </c>
      <c r="H591" t="s">
        <v>15</v>
      </c>
      <c r="I591">
        <v>0</v>
      </c>
      <c r="J591" t="s">
        <v>47</v>
      </c>
      <c r="K591" t="s">
        <v>32</v>
      </c>
      <c r="L591">
        <v>57</v>
      </c>
      <c r="M591" t="str">
        <f t="shared" si="9"/>
        <v>Old 55+</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36</v>
      </c>
      <c r="C593" t="s">
        <v>40</v>
      </c>
      <c r="D593" s="3">
        <v>40000</v>
      </c>
      <c r="E593">
        <v>4</v>
      </c>
      <c r="F593" t="s">
        <v>27</v>
      </c>
      <c r="G593" t="s">
        <v>21</v>
      </c>
      <c r="H593" t="s">
        <v>18</v>
      </c>
      <c r="I593">
        <v>2</v>
      </c>
      <c r="J593" t="s">
        <v>47</v>
      </c>
      <c r="K593" t="s">
        <v>32</v>
      </c>
      <c r="L593">
        <v>61</v>
      </c>
      <c r="M593" t="str">
        <f t="shared" si="9"/>
        <v>Old 55+</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36</v>
      </c>
      <c r="C596" t="s">
        <v>40</v>
      </c>
      <c r="D596" s="3">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40</v>
      </c>
      <c r="D599" s="3">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40</v>
      </c>
      <c r="D600" s="3">
        <v>130000</v>
      </c>
      <c r="E600">
        <v>1</v>
      </c>
      <c r="F600" t="s">
        <v>31</v>
      </c>
      <c r="G600" t="s">
        <v>28</v>
      </c>
      <c r="H600" t="s">
        <v>15</v>
      </c>
      <c r="I600">
        <v>4</v>
      </c>
      <c r="J600" t="s">
        <v>16</v>
      </c>
      <c r="K600" t="s">
        <v>32</v>
      </c>
      <c r="L600">
        <v>41</v>
      </c>
      <c r="M600" t="str">
        <f t="shared" si="9"/>
        <v>Middle age 31-54</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40</v>
      </c>
      <c r="D602" s="3">
        <v>30000</v>
      </c>
      <c r="E602">
        <v>2</v>
      </c>
      <c r="F602" t="s">
        <v>27</v>
      </c>
      <c r="G602" t="s">
        <v>14</v>
      </c>
      <c r="H602" t="s">
        <v>18</v>
      </c>
      <c r="I602">
        <v>2</v>
      </c>
      <c r="J602" t="s">
        <v>16</v>
      </c>
      <c r="K602" t="s">
        <v>32</v>
      </c>
      <c r="L602">
        <v>49</v>
      </c>
      <c r="M602" t="str">
        <f t="shared" si="9"/>
        <v>Middle age 31-54</v>
      </c>
      <c r="N602" t="s">
        <v>18</v>
      </c>
    </row>
    <row r="603" spans="1:14" x14ac:dyDescent="0.25">
      <c r="A603">
        <v>29231</v>
      </c>
      <c r="B603" t="s">
        <v>37</v>
      </c>
      <c r="C603" t="s">
        <v>40</v>
      </c>
      <c r="D603" s="3">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40</v>
      </c>
      <c r="D604" s="3">
        <v>60000</v>
      </c>
      <c r="E604">
        <v>2</v>
      </c>
      <c r="F604" t="s">
        <v>29</v>
      </c>
      <c r="G604" t="s">
        <v>14</v>
      </c>
      <c r="H604" t="s">
        <v>15</v>
      </c>
      <c r="I604">
        <v>2</v>
      </c>
      <c r="J604" t="s">
        <v>23</v>
      </c>
      <c r="K604" t="s">
        <v>32</v>
      </c>
      <c r="L604">
        <v>52</v>
      </c>
      <c r="M604" t="str">
        <f t="shared" si="9"/>
        <v>Middle age 31-54</v>
      </c>
      <c r="N604" t="s">
        <v>15</v>
      </c>
    </row>
    <row r="605" spans="1:14" x14ac:dyDescent="0.25">
      <c r="A605">
        <v>20000</v>
      </c>
      <c r="B605" t="s">
        <v>36</v>
      </c>
      <c r="C605" t="s">
        <v>40</v>
      </c>
      <c r="D605" s="3">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36</v>
      </c>
      <c r="C606" t="s">
        <v>40</v>
      </c>
      <c r="D606" s="3">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40</v>
      </c>
      <c r="D607" s="3">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40</v>
      </c>
      <c r="D608" s="3">
        <v>40000</v>
      </c>
      <c r="E608">
        <v>2</v>
      </c>
      <c r="F608" t="s">
        <v>13</v>
      </c>
      <c r="G608" t="s">
        <v>14</v>
      </c>
      <c r="H608" t="s">
        <v>15</v>
      </c>
      <c r="I608">
        <v>0</v>
      </c>
      <c r="J608" t="s">
        <v>22</v>
      </c>
      <c r="K608" t="s">
        <v>32</v>
      </c>
      <c r="L608">
        <v>36</v>
      </c>
      <c r="M608" t="str">
        <f t="shared" si="9"/>
        <v>Middle age 31-54</v>
      </c>
      <c r="N608" t="s">
        <v>18</v>
      </c>
    </row>
    <row r="609" spans="1:14" x14ac:dyDescent="0.25">
      <c r="A609">
        <v>16145</v>
      </c>
      <c r="B609" t="s">
        <v>37</v>
      </c>
      <c r="C609" t="s">
        <v>39</v>
      </c>
      <c r="D609" s="3">
        <v>70000</v>
      </c>
      <c r="E609">
        <v>5</v>
      </c>
      <c r="F609" t="s">
        <v>31</v>
      </c>
      <c r="G609" t="s">
        <v>21</v>
      </c>
      <c r="H609" t="s">
        <v>15</v>
      </c>
      <c r="I609">
        <v>3</v>
      </c>
      <c r="J609" t="s">
        <v>47</v>
      </c>
      <c r="K609" t="s">
        <v>32</v>
      </c>
      <c r="L609">
        <v>46</v>
      </c>
      <c r="M609" t="str">
        <f t="shared" si="9"/>
        <v>Middle age 31-54</v>
      </c>
      <c r="N609" t="s">
        <v>15</v>
      </c>
    </row>
    <row r="610" spans="1:14" x14ac:dyDescent="0.25">
      <c r="A610">
        <v>16890</v>
      </c>
      <c r="B610" t="s">
        <v>36</v>
      </c>
      <c r="C610" t="s">
        <v>40</v>
      </c>
      <c r="D610" s="3">
        <v>60000</v>
      </c>
      <c r="E610">
        <v>3</v>
      </c>
      <c r="F610" t="s">
        <v>29</v>
      </c>
      <c r="G610" t="s">
        <v>14</v>
      </c>
      <c r="H610" t="s">
        <v>15</v>
      </c>
      <c r="I610">
        <v>2</v>
      </c>
      <c r="J610" t="s">
        <v>23</v>
      </c>
      <c r="K610" t="s">
        <v>32</v>
      </c>
      <c r="L610">
        <v>52</v>
      </c>
      <c r="M610" t="str">
        <f t="shared" si="9"/>
        <v>Middle age 31-54</v>
      </c>
      <c r="N610" t="s">
        <v>15</v>
      </c>
    </row>
    <row r="611" spans="1:14" x14ac:dyDescent="0.25">
      <c r="A611">
        <v>25983</v>
      </c>
      <c r="B611" t="s">
        <v>36</v>
      </c>
      <c r="C611" t="s">
        <v>40</v>
      </c>
      <c r="D611" s="3">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36</v>
      </c>
      <c r="C612" t="s">
        <v>40</v>
      </c>
      <c r="D612" s="3">
        <v>60000</v>
      </c>
      <c r="E612">
        <v>1</v>
      </c>
      <c r="F612" t="s">
        <v>19</v>
      </c>
      <c r="G612" t="s">
        <v>14</v>
      </c>
      <c r="H612" t="s">
        <v>15</v>
      </c>
      <c r="I612">
        <v>1</v>
      </c>
      <c r="J612" t="s">
        <v>22</v>
      </c>
      <c r="K612" t="s">
        <v>32</v>
      </c>
      <c r="L612">
        <v>44</v>
      </c>
      <c r="M612" t="str">
        <f t="shared" si="9"/>
        <v>Middle age 31-54</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40</v>
      </c>
      <c r="D615" s="3">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25">
      <c r="A619">
        <v>17858</v>
      </c>
      <c r="B619" t="s">
        <v>36</v>
      </c>
      <c r="C619" t="s">
        <v>40</v>
      </c>
      <c r="D619" s="3">
        <v>40000</v>
      </c>
      <c r="E619">
        <v>4</v>
      </c>
      <c r="F619" t="s">
        <v>27</v>
      </c>
      <c r="G619" t="s">
        <v>14</v>
      </c>
      <c r="H619" t="s">
        <v>15</v>
      </c>
      <c r="I619">
        <v>2</v>
      </c>
      <c r="J619" t="s">
        <v>22</v>
      </c>
      <c r="K619" t="s">
        <v>32</v>
      </c>
      <c r="L619">
        <v>44</v>
      </c>
      <c r="M619" t="str">
        <f t="shared" si="9"/>
        <v>Middle age 31-54</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36</v>
      </c>
      <c r="C623" t="s">
        <v>40</v>
      </c>
      <c r="D623" s="3">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40</v>
      </c>
      <c r="D624" s="3">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 31-54</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40</v>
      </c>
      <c r="D627" s="3">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40</v>
      </c>
      <c r="D630" s="3">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25">
      <c r="A632">
        <v>27753</v>
      </c>
      <c r="B632" t="s">
        <v>36</v>
      </c>
      <c r="C632" t="s">
        <v>40</v>
      </c>
      <c r="D632" s="3">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40</v>
      </c>
      <c r="D633" s="3">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25">
      <c r="A636">
        <v>27388</v>
      </c>
      <c r="B636" t="s">
        <v>36</v>
      </c>
      <c r="C636" t="s">
        <v>40</v>
      </c>
      <c r="D636" s="3">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40</v>
      </c>
      <c r="D639" s="3">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40</v>
      </c>
      <c r="D640" s="3">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40</v>
      </c>
      <c r="D641" s="3">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40</v>
      </c>
      <c r="D643" s="3">
        <v>50000</v>
      </c>
      <c r="E643">
        <v>4</v>
      </c>
      <c r="F643" t="s">
        <v>13</v>
      </c>
      <c r="G643" t="s">
        <v>28</v>
      </c>
      <c r="H643" t="s">
        <v>15</v>
      </c>
      <c r="I643">
        <v>2</v>
      </c>
      <c r="J643" t="s">
        <v>47</v>
      </c>
      <c r="K643" t="s">
        <v>32</v>
      </c>
      <c r="L643">
        <v>64</v>
      </c>
      <c r="M643" t="str">
        <f t="shared" ref="M643:M706" si="10">IF(L643&gt;55,"Old 55+",IF(L643&gt;=31,"Middle age 31-54",IF(L643&lt;31,"Adolescent 0-30","Invalid")))</f>
        <v>Old 55+</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36</v>
      </c>
      <c r="C646" t="s">
        <v>39</v>
      </c>
      <c r="D646" s="3">
        <v>60000</v>
      </c>
      <c r="E646">
        <v>5</v>
      </c>
      <c r="F646" t="s">
        <v>13</v>
      </c>
      <c r="G646" t="s">
        <v>14</v>
      </c>
      <c r="H646" t="s">
        <v>15</v>
      </c>
      <c r="I646">
        <v>3</v>
      </c>
      <c r="J646" t="s">
        <v>47</v>
      </c>
      <c r="K646" t="s">
        <v>32</v>
      </c>
      <c r="L646">
        <v>41</v>
      </c>
      <c r="M646" t="str">
        <f t="shared" si="10"/>
        <v>Middle age 31-54</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25">
      <c r="A649">
        <v>22010</v>
      </c>
      <c r="B649" t="s">
        <v>37</v>
      </c>
      <c r="C649" t="s">
        <v>40</v>
      </c>
      <c r="D649" s="3">
        <v>40000</v>
      </c>
      <c r="E649">
        <v>0</v>
      </c>
      <c r="F649" t="s">
        <v>27</v>
      </c>
      <c r="G649" t="s">
        <v>14</v>
      </c>
      <c r="H649" t="s">
        <v>15</v>
      </c>
      <c r="I649">
        <v>2</v>
      </c>
      <c r="J649" t="s">
        <v>23</v>
      </c>
      <c r="K649" t="s">
        <v>32</v>
      </c>
      <c r="L649">
        <v>31</v>
      </c>
      <c r="M649" t="str">
        <f t="shared" si="10"/>
        <v>Middle age 31-54</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39</v>
      </c>
      <c r="D652" s="3">
        <v>70000</v>
      </c>
      <c r="E652">
        <v>5</v>
      </c>
      <c r="F652" t="s">
        <v>31</v>
      </c>
      <c r="G652" t="s">
        <v>28</v>
      </c>
      <c r="H652" t="s">
        <v>15</v>
      </c>
      <c r="I652">
        <v>2</v>
      </c>
      <c r="J652" t="s">
        <v>47</v>
      </c>
      <c r="K652" t="s">
        <v>32</v>
      </c>
      <c r="L652">
        <v>67</v>
      </c>
      <c r="M652" t="str">
        <f t="shared" si="10"/>
        <v>Old 55+</v>
      </c>
      <c r="N652" t="s">
        <v>15</v>
      </c>
    </row>
    <row r="653" spans="1:14" x14ac:dyDescent="0.25">
      <c r="A653">
        <v>14284</v>
      </c>
      <c r="B653" t="s">
        <v>37</v>
      </c>
      <c r="C653" t="s">
        <v>40</v>
      </c>
      <c r="D653" s="3">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36</v>
      </c>
      <c r="C654" t="s">
        <v>40</v>
      </c>
      <c r="D654" s="3">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40</v>
      </c>
      <c r="D655" s="3">
        <v>30000</v>
      </c>
      <c r="E655">
        <v>0</v>
      </c>
      <c r="F655" t="s">
        <v>27</v>
      </c>
      <c r="G655" t="s">
        <v>14</v>
      </c>
      <c r="H655" t="s">
        <v>18</v>
      </c>
      <c r="I655">
        <v>2</v>
      </c>
      <c r="J655" t="s">
        <v>26</v>
      </c>
      <c r="K655" t="s">
        <v>32</v>
      </c>
      <c r="L655">
        <v>31</v>
      </c>
      <c r="M655" t="str">
        <f t="shared" si="10"/>
        <v>Middle age 31-54</v>
      </c>
      <c r="N655" t="s">
        <v>15</v>
      </c>
    </row>
    <row r="656" spans="1:14" x14ac:dyDescent="0.25">
      <c r="A656">
        <v>29106</v>
      </c>
      <c r="B656" t="s">
        <v>37</v>
      </c>
      <c r="C656" t="s">
        <v>40</v>
      </c>
      <c r="D656" s="3">
        <v>40000</v>
      </c>
      <c r="E656">
        <v>0</v>
      </c>
      <c r="F656" t="s">
        <v>27</v>
      </c>
      <c r="G656" t="s">
        <v>14</v>
      </c>
      <c r="H656" t="s">
        <v>18</v>
      </c>
      <c r="I656">
        <v>2</v>
      </c>
      <c r="J656" t="s">
        <v>26</v>
      </c>
      <c r="K656" t="s">
        <v>32</v>
      </c>
      <c r="L656">
        <v>31</v>
      </c>
      <c r="M656" t="str">
        <f t="shared" si="10"/>
        <v>Middle age 31-54</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36</v>
      </c>
      <c r="C658" t="s">
        <v>40</v>
      </c>
      <c r="D658" s="3">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36</v>
      </c>
      <c r="C659" t="s">
        <v>40</v>
      </c>
      <c r="D659" s="3">
        <v>70000</v>
      </c>
      <c r="E659">
        <v>1</v>
      </c>
      <c r="F659" t="s">
        <v>19</v>
      </c>
      <c r="G659" t="s">
        <v>14</v>
      </c>
      <c r="H659" t="s">
        <v>15</v>
      </c>
      <c r="I659">
        <v>1</v>
      </c>
      <c r="J659" t="s">
        <v>16</v>
      </c>
      <c r="K659" t="s">
        <v>32</v>
      </c>
      <c r="L659">
        <v>44</v>
      </c>
      <c r="M659" t="str">
        <f t="shared" si="10"/>
        <v>Middle age 31-54</v>
      </c>
      <c r="N659" t="s">
        <v>18</v>
      </c>
    </row>
    <row r="660" spans="1:14" x14ac:dyDescent="0.25">
      <c r="A660">
        <v>19133</v>
      </c>
      <c r="B660" t="s">
        <v>37</v>
      </c>
      <c r="C660" t="s">
        <v>40</v>
      </c>
      <c r="D660" s="3">
        <v>50000</v>
      </c>
      <c r="E660">
        <v>2</v>
      </c>
      <c r="F660" t="s">
        <v>13</v>
      </c>
      <c r="G660" t="s">
        <v>14</v>
      </c>
      <c r="H660" t="s">
        <v>15</v>
      </c>
      <c r="I660">
        <v>1</v>
      </c>
      <c r="J660" t="s">
        <v>22</v>
      </c>
      <c r="K660" t="s">
        <v>32</v>
      </c>
      <c r="L660">
        <v>38</v>
      </c>
      <c r="M660" t="str">
        <f t="shared" si="10"/>
        <v>Middle age 31-54</v>
      </c>
      <c r="N660" t="s">
        <v>15</v>
      </c>
    </row>
    <row r="661" spans="1:14" x14ac:dyDescent="0.25">
      <c r="A661">
        <v>24643</v>
      </c>
      <c r="B661" t="s">
        <v>37</v>
      </c>
      <c r="C661" t="s">
        <v>39</v>
      </c>
      <c r="D661" s="3">
        <v>60000</v>
      </c>
      <c r="E661">
        <v>4</v>
      </c>
      <c r="F661" t="s">
        <v>13</v>
      </c>
      <c r="G661" t="s">
        <v>28</v>
      </c>
      <c r="H661" t="s">
        <v>15</v>
      </c>
      <c r="I661">
        <v>2</v>
      </c>
      <c r="J661" t="s">
        <v>47</v>
      </c>
      <c r="K661" t="s">
        <v>32</v>
      </c>
      <c r="L661">
        <v>63</v>
      </c>
      <c r="M661" t="str">
        <f t="shared" si="10"/>
        <v>Old 55+</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40</v>
      </c>
      <c r="D663" s="3">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25">
      <c r="A667">
        <v>14443</v>
      </c>
      <c r="B667" t="s">
        <v>36</v>
      </c>
      <c r="C667" t="s">
        <v>40</v>
      </c>
      <c r="D667" s="3">
        <v>130000</v>
      </c>
      <c r="E667">
        <v>1</v>
      </c>
      <c r="F667" t="s">
        <v>31</v>
      </c>
      <c r="G667" t="s">
        <v>28</v>
      </c>
      <c r="H667" t="s">
        <v>15</v>
      </c>
      <c r="I667">
        <v>4</v>
      </c>
      <c r="J667" t="s">
        <v>16</v>
      </c>
      <c r="K667" t="s">
        <v>32</v>
      </c>
      <c r="L667">
        <v>40</v>
      </c>
      <c r="M667" t="str">
        <f t="shared" si="10"/>
        <v>Middle age 31-54</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25">
      <c r="A669">
        <v>20505</v>
      </c>
      <c r="B669" t="s">
        <v>36</v>
      </c>
      <c r="C669" t="s">
        <v>39</v>
      </c>
      <c r="D669" s="3">
        <v>40000</v>
      </c>
      <c r="E669">
        <v>5</v>
      </c>
      <c r="F669" t="s">
        <v>27</v>
      </c>
      <c r="G669" t="s">
        <v>21</v>
      </c>
      <c r="H669" t="s">
        <v>18</v>
      </c>
      <c r="I669">
        <v>2</v>
      </c>
      <c r="J669" t="s">
        <v>47</v>
      </c>
      <c r="K669" t="s">
        <v>32</v>
      </c>
      <c r="L669">
        <v>61</v>
      </c>
      <c r="M669" t="str">
        <f t="shared" si="10"/>
        <v>Old 55+</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36</v>
      </c>
      <c r="C672" t="s">
        <v>40</v>
      </c>
      <c r="D672" s="3">
        <v>70000</v>
      </c>
      <c r="E672">
        <v>2</v>
      </c>
      <c r="F672" t="s">
        <v>19</v>
      </c>
      <c r="G672" t="s">
        <v>21</v>
      </c>
      <c r="H672" t="s">
        <v>15</v>
      </c>
      <c r="I672">
        <v>1</v>
      </c>
      <c r="J672" t="s">
        <v>47</v>
      </c>
      <c r="K672" t="s">
        <v>32</v>
      </c>
      <c r="L672">
        <v>59</v>
      </c>
      <c r="M672" t="str">
        <f t="shared" si="10"/>
        <v>Old 55+</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25">
      <c r="A677">
        <v>18517</v>
      </c>
      <c r="B677" t="s">
        <v>36</v>
      </c>
      <c r="C677" t="s">
        <v>40</v>
      </c>
      <c r="D677" s="3">
        <v>100000</v>
      </c>
      <c r="E677">
        <v>3</v>
      </c>
      <c r="F677" t="s">
        <v>13</v>
      </c>
      <c r="G677" t="s">
        <v>28</v>
      </c>
      <c r="H677" t="s">
        <v>15</v>
      </c>
      <c r="I677">
        <v>4</v>
      </c>
      <c r="J677" t="s">
        <v>16</v>
      </c>
      <c r="K677" t="s">
        <v>32</v>
      </c>
      <c r="L677">
        <v>41</v>
      </c>
      <c r="M677" t="str">
        <f t="shared" si="10"/>
        <v>Middle age 31-54</v>
      </c>
      <c r="N677" t="s">
        <v>18</v>
      </c>
    </row>
    <row r="678" spans="1:14" x14ac:dyDescent="0.25">
      <c r="A678">
        <v>21717</v>
      </c>
      <c r="B678" t="s">
        <v>36</v>
      </c>
      <c r="C678" t="s">
        <v>40</v>
      </c>
      <c r="D678" s="3">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36</v>
      </c>
      <c r="C679" t="s">
        <v>40</v>
      </c>
      <c r="D679" s="3">
        <v>60000</v>
      </c>
      <c r="E679">
        <v>4</v>
      </c>
      <c r="F679" t="s">
        <v>31</v>
      </c>
      <c r="G679" t="s">
        <v>14</v>
      </c>
      <c r="H679" t="s">
        <v>18</v>
      </c>
      <c r="I679">
        <v>0</v>
      </c>
      <c r="J679" t="s">
        <v>16</v>
      </c>
      <c r="K679" t="s">
        <v>32</v>
      </c>
      <c r="L679">
        <v>47</v>
      </c>
      <c r="M679" t="str">
        <f t="shared" si="10"/>
        <v>Middle age 31-54</v>
      </c>
      <c r="N679" t="s">
        <v>18</v>
      </c>
    </row>
    <row r="680" spans="1:14" x14ac:dyDescent="0.25">
      <c r="A680">
        <v>18145</v>
      </c>
      <c r="B680" t="s">
        <v>36</v>
      </c>
      <c r="C680" t="s">
        <v>40</v>
      </c>
      <c r="D680" s="3">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40</v>
      </c>
      <c r="D681" s="3">
        <v>60000</v>
      </c>
      <c r="E681">
        <v>4</v>
      </c>
      <c r="F681" t="s">
        <v>13</v>
      </c>
      <c r="G681" t="s">
        <v>28</v>
      </c>
      <c r="H681" t="s">
        <v>15</v>
      </c>
      <c r="I681">
        <v>2</v>
      </c>
      <c r="J681" t="s">
        <v>47</v>
      </c>
      <c r="K681" t="s">
        <v>32</v>
      </c>
      <c r="L681">
        <v>60</v>
      </c>
      <c r="M681" t="str">
        <f t="shared" si="10"/>
        <v>Old 55+</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25">
      <c r="A684">
        <v>26248</v>
      </c>
      <c r="B684" t="s">
        <v>36</v>
      </c>
      <c r="C684" t="s">
        <v>40</v>
      </c>
      <c r="D684" s="3">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40</v>
      </c>
      <c r="D689" s="3">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40</v>
      </c>
      <c r="D690" s="3">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40</v>
      </c>
      <c r="D691" s="3">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25">
      <c r="A693">
        <v>23144</v>
      </c>
      <c r="B693" t="s">
        <v>36</v>
      </c>
      <c r="C693" t="s">
        <v>40</v>
      </c>
      <c r="D693" s="3">
        <v>50000</v>
      </c>
      <c r="E693">
        <v>1</v>
      </c>
      <c r="F693" t="s">
        <v>13</v>
      </c>
      <c r="G693" t="s">
        <v>14</v>
      </c>
      <c r="H693" t="s">
        <v>15</v>
      </c>
      <c r="I693">
        <v>0</v>
      </c>
      <c r="J693" t="s">
        <v>16</v>
      </c>
      <c r="K693" t="s">
        <v>32</v>
      </c>
      <c r="L693">
        <v>34</v>
      </c>
      <c r="M693" t="str">
        <f t="shared" si="10"/>
        <v>Middle age 31-54</v>
      </c>
      <c r="N693" t="s">
        <v>15</v>
      </c>
    </row>
    <row r="694" spans="1:14" x14ac:dyDescent="0.25">
      <c r="A694">
        <v>23376</v>
      </c>
      <c r="B694" t="s">
        <v>36</v>
      </c>
      <c r="C694" t="s">
        <v>40</v>
      </c>
      <c r="D694" s="3">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36</v>
      </c>
      <c r="C697" t="s">
        <v>40</v>
      </c>
      <c r="D697" s="3">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40</v>
      </c>
      <c r="D698" s="3">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40</v>
      </c>
      <c r="D700" s="3">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40</v>
      </c>
      <c r="D701" s="3">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40</v>
      </c>
      <c r="D703" s="3">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40</v>
      </c>
      <c r="D704" s="3">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36</v>
      </c>
      <c r="C707" t="s">
        <v>39</v>
      </c>
      <c r="D707" s="3">
        <v>70000</v>
      </c>
      <c r="E707">
        <v>4</v>
      </c>
      <c r="F707" t="s">
        <v>13</v>
      </c>
      <c r="G707" t="s">
        <v>28</v>
      </c>
      <c r="H707" t="s">
        <v>15</v>
      </c>
      <c r="I707">
        <v>1</v>
      </c>
      <c r="J707" t="s">
        <v>47</v>
      </c>
      <c r="K707" t="s">
        <v>32</v>
      </c>
      <c r="L707">
        <v>59</v>
      </c>
      <c r="M707" t="str">
        <f t="shared" ref="M707:M770" si="11">IF(L707&gt;55,"Old 55+",IF(L707&gt;=31,"Middle age 31-54",IF(L707&lt;31,"Adolescent 0-30","Invalid")))</f>
        <v>Old 55+</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25">
      <c r="A710">
        <v>18069</v>
      </c>
      <c r="B710" t="s">
        <v>36</v>
      </c>
      <c r="C710" t="s">
        <v>40</v>
      </c>
      <c r="D710" s="3">
        <v>70000</v>
      </c>
      <c r="E710">
        <v>5</v>
      </c>
      <c r="F710" t="s">
        <v>13</v>
      </c>
      <c r="G710" t="s">
        <v>28</v>
      </c>
      <c r="H710" t="s">
        <v>15</v>
      </c>
      <c r="I710">
        <v>4</v>
      </c>
      <c r="J710" t="s">
        <v>47</v>
      </c>
      <c r="K710" t="s">
        <v>32</v>
      </c>
      <c r="L710">
        <v>60</v>
      </c>
      <c r="M710" t="str">
        <f t="shared" si="11"/>
        <v>Old 55+</v>
      </c>
      <c r="N710" t="s">
        <v>18</v>
      </c>
    </row>
    <row r="711" spans="1:14" x14ac:dyDescent="0.25">
      <c r="A711">
        <v>23712</v>
      </c>
      <c r="B711" t="s">
        <v>37</v>
      </c>
      <c r="C711" t="s">
        <v>39</v>
      </c>
      <c r="D711" s="3">
        <v>70000</v>
      </c>
      <c r="E711">
        <v>2</v>
      </c>
      <c r="F711" t="s">
        <v>13</v>
      </c>
      <c r="G711" t="s">
        <v>28</v>
      </c>
      <c r="H711" t="s">
        <v>15</v>
      </c>
      <c r="I711">
        <v>1</v>
      </c>
      <c r="J711" t="s">
        <v>47</v>
      </c>
      <c r="K711" t="s">
        <v>32</v>
      </c>
      <c r="L711">
        <v>59</v>
      </c>
      <c r="M711" t="str">
        <f t="shared" si="11"/>
        <v>Old 55+</v>
      </c>
      <c r="N711" t="s">
        <v>18</v>
      </c>
    </row>
    <row r="712" spans="1:14" x14ac:dyDescent="0.25">
      <c r="A712">
        <v>23358</v>
      </c>
      <c r="B712" t="s">
        <v>36</v>
      </c>
      <c r="C712" t="s">
        <v>40</v>
      </c>
      <c r="D712" s="3">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36</v>
      </c>
      <c r="C713" t="s">
        <v>39</v>
      </c>
      <c r="D713" s="3">
        <v>70000</v>
      </c>
      <c r="E713">
        <v>2</v>
      </c>
      <c r="F713" t="s">
        <v>19</v>
      </c>
      <c r="G713" t="s">
        <v>21</v>
      </c>
      <c r="H713" t="s">
        <v>15</v>
      </c>
      <c r="I713">
        <v>1</v>
      </c>
      <c r="J713" t="s">
        <v>47</v>
      </c>
      <c r="K713" t="s">
        <v>32</v>
      </c>
      <c r="L713">
        <v>58</v>
      </c>
      <c r="M713" t="str">
        <f t="shared" si="11"/>
        <v>Old 55+</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25">
      <c r="A716">
        <v>16020</v>
      </c>
      <c r="B716" t="s">
        <v>36</v>
      </c>
      <c r="C716" t="s">
        <v>40</v>
      </c>
      <c r="D716" s="3">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25">
      <c r="A719">
        <v>19661</v>
      </c>
      <c r="B719" t="s">
        <v>37</v>
      </c>
      <c r="C719" t="s">
        <v>40</v>
      </c>
      <c r="D719" s="3">
        <v>90000</v>
      </c>
      <c r="E719">
        <v>4</v>
      </c>
      <c r="F719" t="s">
        <v>13</v>
      </c>
      <c r="G719" t="s">
        <v>28</v>
      </c>
      <c r="H719" t="s">
        <v>15</v>
      </c>
      <c r="I719">
        <v>1</v>
      </c>
      <c r="J719" t="s">
        <v>26</v>
      </c>
      <c r="K719" t="s">
        <v>32</v>
      </c>
      <c r="L719">
        <v>38</v>
      </c>
      <c r="M719" t="str">
        <f t="shared" si="11"/>
        <v>Middle age 31-54</v>
      </c>
      <c r="N719" t="s">
        <v>15</v>
      </c>
    </row>
    <row r="720" spans="1:14" x14ac:dyDescent="0.25">
      <c r="A720">
        <v>26327</v>
      </c>
      <c r="B720" t="s">
        <v>36</v>
      </c>
      <c r="C720" t="s">
        <v>40</v>
      </c>
      <c r="D720" s="3">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40</v>
      </c>
      <c r="D723" s="3">
        <v>110000</v>
      </c>
      <c r="E723">
        <v>4</v>
      </c>
      <c r="F723" t="s">
        <v>13</v>
      </c>
      <c r="G723" t="s">
        <v>28</v>
      </c>
      <c r="H723" t="s">
        <v>15</v>
      </c>
      <c r="I723">
        <v>4</v>
      </c>
      <c r="J723" t="s">
        <v>23</v>
      </c>
      <c r="K723" t="s">
        <v>32</v>
      </c>
      <c r="L723">
        <v>42</v>
      </c>
      <c r="M723" t="str">
        <f t="shared" si="11"/>
        <v>Middle age 31-54</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25">
      <c r="A726">
        <v>23275</v>
      </c>
      <c r="B726" t="s">
        <v>36</v>
      </c>
      <c r="C726" t="s">
        <v>40</v>
      </c>
      <c r="D726" s="3">
        <v>30000</v>
      </c>
      <c r="E726">
        <v>2</v>
      </c>
      <c r="F726" t="s">
        <v>27</v>
      </c>
      <c r="G726" t="s">
        <v>14</v>
      </c>
      <c r="H726" t="s">
        <v>15</v>
      </c>
      <c r="I726">
        <v>2</v>
      </c>
      <c r="J726" t="s">
        <v>26</v>
      </c>
      <c r="K726" t="s">
        <v>32</v>
      </c>
      <c r="L726">
        <v>49</v>
      </c>
      <c r="M726" t="str">
        <f t="shared" si="11"/>
        <v>Middle age 31-54</v>
      </c>
      <c r="N726" t="s">
        <v>18</v>
      </c>
    </row>
    <row r="727" spans="1:14" x14ac:dyDescent="0.25">
      <c r="A727">
        <v>11270</v>
      </c>
      <c r="B727" t="s">
        <v>36</v>
      </c>
      <c r="C727" t="s">
        <v>40</v>
      </c>
      <c r="D727" s="3">
        <v>130000</v>
      </c>
      <c r="E727">
        <v>2</v>
      </c>
      <c r="F727" t="s">
        <v>31</v>
      </c>
      <c r="G727" t="s">
        <v>28</v>
      </c>
      <c r="H727" t="s">
        <v>15</v>
      </c>
      <c r="I727">
        <v>3</v>
      </c>
      <c r="J727" t="s">
        <v>16</v>
      </c>
      <c r="K727" t="s">
        <v>32</v>
      </c>
      <c r="L727">
        <v>42</v>
      </c>
      <c r="M727" t="str">
        <f t="shared" si="11"/>
        <v>Middle age 31-54</v>
      </c>
      <c r="N727" t="s">
        <v>15</v>
      </c>
    </row>
    <row r="728" spans="1:14" x14ac:dyDescent="0.25">
      <c r="A728">
        <v>20084</v>
      </c>
      <c r="B728" t="s">
        <v>36</v>
      </c>
      <c r="C728" t="s">
        <v>40</v>
      </c>
      <c r="D728" s="3">
        <v>20000</v>
      </c>
      <c r="E728">
        <v>2</v>
      </c>
      <c r="F728" t="s">
        <v>27</v>
      </c>
      <c r="G728" t="s">
        <v>25</v>
      </c>
      <c r="H728" t="s">
        <v>18</v>
      </c>
      <c r="I728">
        <v>2</v>
      </c>
      <c r="J728" t="s">
        <v>16</v>
      </c>
      <c r="K728" t="s">
        <v>32</v>
      </c>
      <c r="L728">
        <v>53</v>
      </c>
      <c r="M728" t="str">
        <f t="shared" si="11"/>
        <v>Middle age 31-54</v>
      </c>
      <c r="N728" t="s">
        <v>18</v>
      </c>
    </row>
    <row r="729" spans="1:14" x14ac:dyDescent="0.25">
      <c r="A729">
        <v>16144</v>
      </c>
      <c r="B729" t="s">
        <v>36</v>
      </c>
      <c r="C729" t="s">
        <v>40</v>
      </c>
      <c r="D729" s="3">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36</v>
      </c>
      <c r="C730" t="s">
        <v>40</v>
      </c>
      <c r="D730" s="3">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25">
      <c r="A733">
        <v>22220</v>
      </c>
      <c r="B733" t="s">
        <v>36</v>
      </c>
      <c r="C733" t="s">
        <v>40</v>
      </c>
      <c r="D733" s="3">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40</v>
      </c>
      <c r="D735" s="3">
        <v>130000</v>
      </c>
      <c r="E735">
        <v>1</v>
      </c>
      <c r="F735" t="s">
        <v>13</v>
      </c>
      <c r="G735" t="s">
        <v>28</v>
      </c>
      <c r="H735" t="s">
        <v>18</v>
      </c>
      <c r="I735">
        <v>4</v>
      </c>
      <c r="J735" t="s">
        <v>16</v>
      </c>
      <c r="K735" t="s">
        <v>32</v>
      </c>
      <c r="L735">
        <v>44</v>
      </c>
      <c r="M735" t="str">
        <f t="shared" si="11"/>
        <v>Middle age 31-54</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40</v>
      </c>
      <c r="D738" s="3">
        <v>40000</v>
      </c>
      <c r="E738">
        <v>0</v>
      </c>
      <c r="F738" t="s">
        <v>27</v>
      </c>
      <c r="G738" t="s">
        <v>14</v>
      </c>
      <c r="H738" t="s">
        <v>15</v>
      </c>
      <c r="I738">
        <v>1</v>
      </c>
      <c r="J738" t="s">
        <v>23</v>
      </c>
      <c r="K738" t="s">
        <v>32</v>
      </c>
      <c r="L738">
        <v>31</v>
      </c>
      <c r="M738" t="str">
        <f t="shared" si="11"/>
        <v>Middle age 31-54</v>
      </c>
      <c r="N738" t="s">
        <v>18</v>
      </c>
    </row>
    <row r="739" spans="1:14" x14ac:dyDescent="0.25">
      <c r="A739">
        <v>18504</v>
      </c>
      <c r="B739" t="s">
        <v>36</v>
      </c>
      <c r="C739" t="s">
        <v>40</v>
      </c>
      <c r="D739" s="3">
        <v>70000</v>
      </c>
      <c r="E739">
        <v>2</v>
      </c>
      <c r="F739" t="s">
        <v>29</v>
      </c>
      <c r="G739" t="s">
        <v>14</v>
      </c>
      <c r="H739" t="s">
        <v>18</v>
      </c>
      <c r="I739">
        <v>2</v>
      </c>
      <c r="J739" t="s">
        <v>26</v>
      </c>
      <c r="K739" t="s">
        <v>32</v>
      </c>
      <c r="L739">
        <v>49</v>
      </c>
      <c r="M739" t="str">
        <f t="shared" si="11"/>
        <v>Middle age 31-54</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36</v>
      </c>
      <c r="C741" t="s">
        <v>39</v>
      </c>
      <c r="D741" s="3">
        <v>60000</v>
      </c>
      <c r="E741">
        <v>2</v>
      </c>
      <c r="F741" t="s">
        <v>19</v>
      </c>
      <c r="G741" t="s">
        <v>21</v>
      </c>
      <c r="H741" t="s">
        <v>15</v>
      </c>
      <c r="I741">
        <v>1</v>
      </c>
      <c r="J741" t="s">
        <v>47</v>
      </c>
      <c r="K741" t="s">
        <v>32</v>
      </c>
      <c r="L741">
        <v>55</v>
      </c>
      <c r="M741" t="str">
        <f t="shared" si="11"/>
        <v>Middle age 31-54</v>
      </c>
      <c r="N741" t="s">
        <v>18</v>
      </c>
    </row>
    <row r="742" spans="1:14" x14ac:dyDescent="0.25">
      <c r="A742">
        <v>17657</v>
      </c>
      <c r="B742" t="s">
        <v>36</v>
      </c>
      <c r="C742" t="s">
        <v>40</v>
      </c>
      <c r="D742" s="3">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40</v>
      </c>
      <c r="D744" s="3">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40</v>
      </c>
      <c r="D745" s="3">
        <v>110000</v>
      </c>
      <c r="E745">
        <v>1</v>
      </c>
      <c r="F745" t="s">
        <v>13</v>
      </c>
      <c r="G745" t="s">
        <v>28</v>
      </c>
      <c r="H745" t="s">
        <v>15</v>
      </c>
      <c r="I745">
        <v>3</v>
      </c>
      <c r="J745" t="s">
        <v>23</v>
      </c>
      <c r="K745" t="s">
        <v>32</v>
      </c>
      <c r="L745">
        <v>45</v>
      </c>
      <c r="M745" t="str">
        <f t="shared" si="11"/>
        <v>Middle age 31-54</v>
      </c>
      <c r="N745" t="s">
        <v>18</v>
      </c>
    </row>
    <row r="746" spans="1:14" x14ac:dyDescent="0.25">
      <c r="A746">
        <v>20535</v>
      </c>
      <c r="B746" t="s">
        <v>36</v>
      </c>
      <c r="C746" t="s">
        <v>39</v>
      </c>
      <c r="D746" s="3">
        <v>70000</v>
      </c>
      <c r="E746">
        <v>4</v>
      </c>
      <c r="F746" t="s">
        <v>19</v>
      </c>
      <c r="G746" t="s">
        <v>21</v>
      </c>
      <c r="H746" t="s">
        <v>15</v>
      </c>
      <c r="I746">
        <v>1</v>
      </c>
      <c r="J746" t="s">
        <v>47</v>
      </c>
      <c r="K746" t="s">
        <v>32</v>
      </c>
      <c r="L746">
        <v>56</v>
      </c>
      <c r="M746" t="str">
        <f t="shared" si="11"/>
        <v>Old 55+</v>
      </c>
      <c r="N746" t="s">
        <v>18</v>
      </c>
    </row>
    <row r="747" spans="1:14" x14ac:dyDescent="0.25">
      <c r="A747">
        <v>12452</v>
      </c>
      <c r="B747" t="s">
        <v>36</v>
      </c>
      <c r="C747" t="s">
        <v>40</v>
      </c>
      <c r="D747" s="3">
        <v>60000</v>
      </c>
      <c r="E747">
        <v>4</v>
      </c>
      <c r="F747" t="s">
        <v>31</v>
      </c>
      <c r="G747" t="s">
        <v>14</v>
      </c>
      <c r="H747" t="s">
        <v>15</v>
      </c>
      <c r="I747">
        <v>0</v>
      </c>
      <c r="J747" t="s">
        <v>26</v>
      </c>
      <c r="K747" t="s">
        <v>32</v>
      </c>
      <c r="L747">
        <v>47</v>
      </c>
      <c r="M747" t="str">
        <f t="shared" si="11"/>
        <v>Middle age 31-54</v>
      </c>
      <c r="N747" t="s">
        <v>15</v>
      </c>
    </row>
    <row r="748" spans="1:14" x14ac:dyDescent="0.25">
      <c r="A748">
        <v>28043</v>
      </c>
      <c r="B748" t="s">
        <v>36</v>
      </c>
      <c r="C748" t="s">
        <v>39</v>
      </c>
      <c r="D748" s="3">
        <v>60000</v>
      </c>
      <c r="E748">
        <v>2</v>
      </c>
      <c r="F748" t="s">
        <v>13</v>
      </c>
      <c r="G748" t="s">
        <v>28</v>
      </c>
      <c r="H748" t="s">
        <v>15</v>
      </c>
      <c r="I748">
        <v>0</v>
      </c>
      <c r="J748" t="s">
        <v>47</v>
      </c>
      <c r="K748" t="s">
        <v>32</v>
      </c>
      <c r="L748">
        <v>56</v>
      </c>
      <c r="M748" t="str">
        <f t="shared" si="11"/>
        <v>Old 55+</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36</v>
      </c>
      <c r="C750" t="s">
        <v>40</v>
      </c>
      <c r="D750" s="3">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40</v>
      </c>
      <c r="D752" s="3">
        <v>30000</v>
      </c>
      <c r="E752">
        <v>2</v>
      </c>
      <c r="F752" t="s">
        <v>27</v>
      </c>
      <c r="G752" t="s">
        <v>14</v>
      </c>
      <c r="H752" t="s">
        <v>15</v>
      </c>
      <c r="I752">
        <v>2</v>
      </c>
      <c r="J752" t="s">
        <v>26</v>
      </c>
      <c r="K752" t="s">
        <v>32</v>
      </c>
      <c r="L752">
        <v>50</v>
      </c>
      <c r="M752" t="str">
        <f t="shared" si="11"/>
        <v>Middle age 31-54</v>
      </c>
      <c r="N752" t="s">
        <v>18</v>
      </c>
    </row>
    <row r="753" spans="1:14" x14ac:dyDescent="0.25">
      <c r="A753">
        <v>11801</v>
      </c>
      <c r="B753" t="s">
        <v>36</v>
      </c>
      <c r="C753" t="s">
        <v>40</v>
      </c>
      <c r="D753" s="3">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36</v>
      </c>
      <c r="C754" t="s">
        <v>40</v>
      </c>
      <c r="D754" s="3">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40</v>
      </c>
      <c r="D757" s="3">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36</v>
      </c>
      <c r="C758" t="s">
        <v>40</v>
      </c>
      <c r="D758" s="3">
        <v>40000</v>
      </c>
      <c r="E758">
        <v>1</v>
      </c>
      <c r="F758" t="s">
        <v>13</v>
      </c>
      <c r="G758" t="s">
        <v>14</v>
      </c>
      <c r="H758" t="s">
        <v>18</v>
      </c>
      <c r="I758">
        <v>1</v>
      </c>
      <c r="J758" t="s">
        <v>16</v>
      </c>
      <c r="K758" t="s">
        <v>32</v>
      </c>
      <c r="L758">
        <v>36</v>
      </c>
      <c r="M758" t="str">
        <f t="shared" si="11"/>
        <v>Middle age 31-54</v>
      </c>
      <c r="N758" t="s">
        <v>15</v>
      </c>
    </row>
    <row r="759" spans="1:14" x14ac:dyDescent="0.25">
      <c r="A759">
        <v>18649</v>
      </c>
      <c r="B759" t="s">
        <v>37</v>
      </c>
      <c r="C759" t="s">
        <v>40</v>
      </c>
      <c r="D759" s="3">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40</v>
      </c>
      <c r="D762" s="3">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36</v>
      </c>
      <c r="C763" t="s">
        <v>39</v>
      </c>
      <c r="D763" s="3">
        <v>60000</v>
      </c>
      <c r="E763">
        <v>5</v>
      </c>
      <c r="F763" t="s">
        <v>13</v>
      </c>
      <c r="G763" t="s">
        <v>28</v>
      </c>
      <c r="H763" t="s">
        <v>15</v>
      </c>
      <c r="I763">
        <v>3</v>
      </c>
      <c r="J763" t="s">
        <v>47</v>
      </c>
      <c r="K763" t="s">
        <v>32</v>
      </c>
      <c r="L763">
        <v>59</v>
      </c>
      <c r="M763" t="str">
        <f t="shared" si="11"/>
        <v>Old 55+</v>
      </c>
      <c r="N763" t="s">
        <v>18</v>
      </c>
    </row>
    <row r="764" spans="1:14" x14ac:dyDescent="0.25">
      <c r="A764">
        <v>20657</v>
      </c>
      <c r="B764" t="s">
        <v>37</v>
      </c>
      <c r="C764" t="s">
        <v>40</v>
      </c>
      <c r="D764" s="3">
        <v>50000</v>
      </c>
      <c r="E764">
        <v>2</v>
      </c>
      <c r="F764" t="s">
        <v>13</v>
      </c>
      <c r="G764" t="s">
        <v>14</v>
      </c>
      <c r="H764" t="s">
        <v>15</v>
      </c>
      <c r="I764">
        <v>0</v>
      </c>
      <c r="J764" t="s">
        <v>22</v>
      </c>
      <c r="K764" t="s">
        <v>32</v>
      </c>
      <c r="L764">
        <v>37</v>
      </c>
      <c r="M764" t="str">
        <f t="shared" si="11"/>
        <v>Middle age 31-54</v>
      </c>
      <c r="N764" t="s">
        <v>15</v>
      </c>
    </row>
    <row r="765" spans="1:14" x14ac:dyDescent="0.25">
      <c r="A765">
        <v>12882</v>
      </c>
      <c r="B765" t="s">
        <v>36</v>
      </c>
      <c r="C765" t="s">
        <v>40</v>
      </c>
      <c r="D765" s="3">
        <v>50000</v>
      </c>
      <c r="E765">
        <v>1</v>
      </c>
      <c r="F765" t="s">
        <v>31</v>
      </c>
      <c r="G765" t="s">
        <v>14</v>
      </c>
      <c r="H765" t="s">
        <v>15</v>
      </c>
      <c r="I765">
        <v>0</v>
      </c>
      <c r="J765" t="s">
        <v>16</v>
      </c>
      <c r="K765" t="s">
        <v>32</v>
      </c>
      <c r="L765">
        <v>33</v>
      </c>
      <c r="M765" t="str">
        <f t="shared" si="11"/>
        <v>Middle age 31-54</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25">
      <c r="A768">
        <v>14608</v>
      </c>
      <c r="B768" t="s">
        <v>36</v>
      </c>
      <c r="C768" t="s">
        <v>40</v>
      </c>
      <c r="D768" s="3">
        <v>50000</v>
      </c>
      <c r="E768">
        <v>4</v>
      </c>
      <c r="F768" t="s">
        <v>13</v>
      </c>
      <c r="G768" t="s">
        <v>14</v>
      </c>
      <c r="H768" t="s">
        <v>15</v>
      </c>
      <c r="I768">
        <v>3</v>
      </c>
      <c r="J768" t="s">
        <v>47</v>
      </c>
      <c r="K768" t="s">
        <v>32</v>
      </c>
      <c r="L768">
        <v>42</v>
      </c>
      <c r="M768" t="str">
        <f t="shared" si="11"/>
        <v>Middle age 31-54</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 55+",IF(L771&gt;=31,"Middle age 31-54",IF(L771&lt;31,"Adolescent 0-30","Invalid")))</f>
        <v>Middle age 31-54</v>
      </c>
      <c r="N771" t="s">
        <v>18</v>
      </c>
    </row>
    <row r="772" spans="1:14" x14ac:dyDescent="0.25">
      <c r="A772">
        <v>17699</v>
      </c>
      <c r="B772" t="s">
        <v>36</v>
      </c>
      <c r="C772" t="s">
        <v>40</v>
      </c>
      <c r="D772" s="3">
        <v>60000</v>
      </c>
      <c r="E772">
        <v>1</v>
      </c>
      <c r="F772" t="s">
        <v>31</v>
      </c>
      <c r="G772" t="s">
        <v>14</v>
      </c>
      <c r="H772" t="s">
        <v>18</v>
      </c>
      <c r="I772">
        <v>0</v>
      </c>
      <c r="J772" t="s">
        <v>16</v>
      </c>
      <c r="K772" t="s">
        <v>32</v>
      </c>
      <c r="L772">
        <v>55</v>
      </c>
      <c r="M772" t="str">
        <f t="shared" si="12"/>
        <v>Middle age 31-54</v>
      </c>
      <c r="N772" t="s">
        <v>18</v>
      </c>
    </row>
    <row r="773" spans="1:14" x14ac:dyDescent="0.25">
      <c r="A773">
        <v>14657</v>
      </c>
      <c r="B773" t="s">
        <v>36</v>
      </c>
      <c r="C773" t="s">
        <v>40</v>
      </c>
      <c r="D773" s="3">
        <v>80000</v>
      </c>
      <c r="E773">
        <v>1</v>
      </c>
      <c r="F773" t="s">
        <v>19</v>
      </c>
      <c r="G773" t="s">
        <v>14</v>
      </c>
      <c r="H773" t="s">
        <v>18</v>
      </c>
      <c r="I773">
        <v>1</v>
      </c>
      <c r="J773" t="s">
        <v>16</v>
      </c>
      <c r="K773" t="s">
        <v>32</v>
      </c>
      <c r="L773">
        <v>47</v>
      </c>
      <c r="M773" t="str">
        <f t="shared" si="12"/>
        <v>Middle age 31-54</v>
      </c>
      <c r="N773" t="s">
        <v>15</v>
      </c>
    </row>
    <row r="774" spans="1:14" x14ac:dyDescent="0.25">
      <c r="A774">
        <v>11540</v>
      </c>
      <c r="B774" t="s">
        <v>37</v>
      </c>
      <c r="C774" t="s">
        <v>40</v>
      </c>
      <c r="D774" s="3">
        <v>60000</v>
      </c>
      <c r="E774">
        <v>4</v>
      </c>
      <c r="F774" t="s">
        <v>31</v>
      </c>
      <c r="G774" t="s">
        <v>14</v>
      </c>
      <c r="H774" t="s">
        <v>15</v>
      </c>
      <c r="I774">
        <v>0</v>
      </c>
      <c r="J774" t="s">
        <v>26</v>
      </c>
      <c r="K774" t="s">
        <v>32</v>
      </c>
      <c r="L774">
        <v>47</v>
      </c>
      <c r="M774" t="str">
        <f t="shared" si="12"/>
        <v>Middle age 31-54</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36</v>
      </c>
      <c r="C777" t="s">
        <v>40</v>
      </c>
      <c r="D777" s="3">
        <v>70000</v>
      </c>
      <c r="E777">
        <v>2</v>
      </c>
      <c r="F777" t="s">
        <v>29</v>
      </c>
      <c r="G777" t="s">
        <v>14</v>
      </c>
      <c r="H777" t="s">
        <v>15</v>
      </c>
      <c r="I777">
        <v>2</v>
      </c>
      <c r="J777" t="s">
        <v>47</v>
      </c>
      <c r="K777" t="s">
        <v>32</v>
      </c>
      <c r="L777">
        <v>54</v>
      </c>
      <c r="M777" t="str">
        <f t="shared" si="12"/>
        <v>Middle age 31-54</v>
      </c>
      <c r="N777" t="s">
        <v>18</v>
      </c>
    </row>
    <row r="778" spans="1:14" x14ac:dyDescent="0.25">
      <c r="A778">
        <v>26490</v>
      </c>
      <c r="B778" t="s">
        <v>37</v>
      </c>
      <c r="C778" t="s">
        <v>40</v>
      </c>
      <c r="D778" s="3">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40</v>
      </c>
      <c r="D779" s="3">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40</v>
      </c>
      <c r="D780" s="3">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36</v>
      </c>
      <c r="C781" t="s">
        <v>40</v>
      </c>
      <c r="D781" s="3">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36</v>
      </c>
      <c r="C782" t="s">
        <v>39</v>
      </c>
      <c r="D782" s="3">
        <v>60000</v>
      </c>
      <c r="E782">
        <v>2</v>
      </c>
      <c r="F782" t="s">
        <v>19</v>
      </c>
      <c r="G782" t="s">
        <v>21</v>
      </c>
      <c r="H782" t="s">
        <v>15</v>
      </c>
      <c r="I782">
        <v>1</v>
      </c>
      <c r="J782" t="s">
        <v>47</v>
      </c>
      <c r="K782" t="s">
        <v>32</v>
      </c>
      <c r="L782">
        <v>55</v>
      </c>
      <c r="M782" t="str">
        <f t="shared" si="12"/>
        <v>Middle age 31-54</v>
      </c>
      <c r="N782" t="s">
        <v>18</v>
      </c>
    </row>
    <row r="783" spans="1:14" x14ac:dyDescent="0.25">
      <c r="A783">
        <v>19660</v>
      </c>
      <c r="B783" t="s">
        <v>36</v>
      </c>
      <c r="C783" t="s">
        <v>40</v>
      </c>
      <c r="D783" s="3">
        <v>80000</v>
      </c>
      <c r="E783">
        <v>4</v>
      </c>
      <c r="F783" t="s">
        <v>13</v>
      </c>
      <c r="G783" t="s">
        <v>28</v>
      </c>
      <c r="H783" t="s">
        <v>15</v>
      </c>
      <c r="I783">
        <v>0</v>
      </c>
      <c r="J783" t="s">
        <v>16</v>
      </c>
      <c r="K783" t="s">
        <v>32</v>
      </c>
      <c r="L783">
        <v>43</v>
      </c>
      <c r="M783" t="str">
        <f t="shared" si="12"/>
        <v>Middle age 31-54</v>
      </c>
      <c r="N783" t="s">
        <v>18</v>
      </c>
    </row>
    <row r="784" spans="1:14" x14ac:dyDescent="0.25">
      <c r="A784">
        <v>16112</v>
      </c>
      <c r="B784" t="s">
        <v>37</v>
      </c>
      <c r="C784" t="s">
        <v>40</v>
      </c>
      <c r="D784" s="3">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36</v>
      </c>
      <c r="C785" t="s">
        <v>40</v>
      </c>
      <c r="D785" s="3">
        <v>60000</v>
      </c>
      <c r="E785">
        <v>4</v>
      </c>
      <c r="F785" t="s">
        <v>13</v>
      </c>
      <c r="G785" t="s">
        <v>14</v>
      </c>
      <c r="H785" t="s">
        <v>15</v>
      </c>
      <c r="I785">
        <v>3</v>
      </c>
      <c r="J785" t="s">
        <v>23</v>
      </c>
      <c r="K785" t="s">
        <v>32</v>
      </c>
      <c r="L785">
        <v>42</v>
      </c>
      <c r="M785" t="str">
        <f t="shared" si="12"/>
        <v>Middle age 31-54</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36</v>
      </c>
      <c r="C791" t="s">
        <v>40</v>
      </c>
      <c r="D791" s="3">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25">
      <c r="A793">
        <v>18363</v>
      </c>
      <c r="B793" t="s">
        <v>36</v>
      </c>
      <c r="C793" t="s">
        <v>40</v>
      </c>
      <c r="D793" s="3">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40</v>
      </c>
      <c r="D794" s="3">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36</v>
      </c>
      <c r="C795" t="s">
        <v>40</v>
      </c>
      <c r="D795" s="3">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36</v>
      </c>
      <c r="C796" t="s">
        <v>40</v>
      </c>
      <c r="D796" s="3">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40</v>
      </c>
      <c r="D797" s="3">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36</v>
      </c>
      <c r="C798" t="s">
        <v>40</v>
      </c>
      <c r="D798" s="3">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40</v>
      </c>
      <c r="D799" s="3">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25">
      <c r="A802">
        <v>15532</v>
      </c>
      <c r="B802" t="s">
        <v>37</v>
      </c>
      <c r="C802" t="s">
        <v>40</v>
      </c>
      <c r="D802" s="3">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36</v>
      </c>
      <c r="C803" t="s">
        <v>40</v>
      </c>
      <c r="D803" s="3">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40</v>
      </c>
      <c r="D804" s="3">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40</v>
      </c>
      <c r="D805" s="3">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40</v>
      </c>
      <c r="D806" s="3">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40</v>
      </c>
      <c r="D810" s="3">
        <v>30000</v>
      </c>
      <c r="E810">
        <v>2</v>
      </c>
      <c r="F810" t="s">
        <v>27</v>
      </c>
      <c r="G810" t="s">
        <v>14</v>
      </c>
      <c r="H810" t="s">
        <v>15</v>
      </c>
      <c r="I810">
        <v>2</v>
      </c>
      <c r="J810" t="s">
        <v>26</v>
      </c>
      <c r="K810" t="s">
        <v>32</v>
      </c>
      <c r="L810">
        <v>50</v>
      </c>
      <c r="M810" t="str">
        <f t="shared" si="12"/>
        <v>Middle age 31-54</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25">
      <c r="A813">
        <v>25954</v>
      </c>
      <c r="B813" t="s">
        <v>36</v>
      </c>
      <c r="C813" t="s">
        <v>40</v>
      </c>
      <c r="D813" s="3">
        <v>60000</v>
      </c>
      <c r="E813">
        <v>0</v>
      </c>
      <c r="F813" t="s">
        <v>19</v>
      </c>
      <c r="G813" t="s">
        <v>14</v>
      </c>
      <c r="H813" t="s">
        <v>18</v>
      </c>
      <c r="I813">
        <v>2</v>
      </c>
      <c r="J813" t="s">
        <v>26</v>
      </c>
      <c r="K813" t="s">
        <v>32</v>
      </c>
      <c r="L813">
        <v>31</v>
      </c>
      <c r="M813" t="str">
        <f t="shared" si="12"/>
        <v>Middle age 31-54</v>
      </c>
      <c r="N813" t="s">
        <v>18</v>
      </c>
    </row>
    <row r="814" spans="1:14" x14ac:dyDescent="0.25">
      <c r="A814">
        <v>15749</v>
      </c>
      <c r="B814" t="s">
        <v>37</v>
      </c>
      <c r="C814" t="s">
        <v>39</v>
      </c>
      <c r="D814" s="3">
        <v>70000</v>
      </c>
      <c r="E814">
        <v>4</v>
      </c>
      <c r="F814" t="s">
        <v>13</v>
      </c>
      <c r="G814" t="s">
        <v>28</v>
      </c>
      <c r="H814" t="s">
        <v>15</v>
      </c>
      <c r="I814">
        <v>2</v>
      </c>
      <c r="J814" t="s">
        <v>47</v>
      </c>
      <c r="K814" t="s">
        <v>32</v>
      </c>
      <c r="L814">
        <v>61</v>
      </c>
      <c r="M814" t="str">
        <f t="shared" si="12"/>
        <v>Old 55+</v>
      </c>
      <c r="N814" t="s">
        <v>18</v>
      </c>
    </row>
    <row r="815" spans="1:14" x14ac:dyDescent="0.25">
      <c r="A815">
        <v>25899</v>
      </c>
      <c r="B815" t="s">
        <v>36</v>
      </c>
      <c r="C815" t="s">
        <v>39</v>
      </c>
      <c r="D815" s="3">
        <v>70000</v>
      </c>
      <c r="E815">
        <v>2</v>
      </c>
      <c r="F815" t="s">
        <v>27</v>
      </c>
      <c r="G815" t="s">
        <v>21</v>
      </c>
      <c r="H815" t="s">
        <v>15</v>
      </c>
      <c r="I815">
        <v>2</v>
      </c>
      <c r="J815" t="s">
        <v>47</v>
      </c>
      <c r="K815" t="s">
        <v>32</v>
      </c>
      <c r="L815">
        <v>53</v>
      </c>
      <c r="M815" t="str">
        <f t="shared" si="12"/>
        <v>Middle age 31-54</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40</v>
      </c>
      <c r="D817" s="3">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36</v>
      </c>
      <c r="C820" t="s">
        <v>40</v>
      </c>
      <c r="D820" s="3">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40</v>
      </c>
      <c r="D822" s="3">
        <v>110000</v>
      </c>
      <c r="E822">
        <v>1</v>
      </c>
      <c r="F822" t="s">
        <v>13</v>
      </c>
      <c r="G822" t="s">
        <v>28</v>
      </c>
      <c r="H822" t="s">
        <v>15</v>
      </c>
      <c r="I822">
        <v>1</v>
      </c>
      <c r="J822" t="s">
        <v>23</v>
      </c>
      <c r="K822" t="s">
        <v>32</v>
      </c>
      <c r="L822">
        <v>43</v>
      </c>
      <c r="M822" t="str">
        <f t="shared" si="12"/>
        <v>Middle age 31-54</v>
      </c>
      <c r="N822" t="s">
        <v>18</v>
      </c>
    </row>
    <row r="823" spans="1:14" x14ac:dyDescent="0.25">
      <c r="A823">
        <v>26582</v>
      </c>
      <c r="B823" t="s">
        <v>36</v>
      </c>
      <c r="C823" t="s">
        <v>40</v>
      </c>
      <c r="D823" s="3">
        <v>60000</v>
      </c>
      <c r="E823">
        <v>0</v>
      </c>
      <c r="F823" t="s">
        <v>19</v>
      </c>
      <c r="G823" t="s">
        <v>14</v>
      </c>
      <c r="H823" t="s">
        <v>15</v>
      </c>
      <c r="I823">
        <v>2</v>
      </c>
      <c r="J823" t="s">
        <v>23</v>
      </c>
      <c r="K823" t="s">
        <v>32</v>
      </c>
      <c r="L823">
        <v>33</v>
      </c>
      <c r="M823" t="str">
        <f t="shared" si="12"/>
        <v>Middle age 31-54</v>
      </c>
      <c r="N823" t="s">
        <v>15</v>
      </c>
    </row>
    <row r="824" spans="1:14" x14ac:dyDescent="0.25">
      <c r="A824">
        <v>14271</v>
      </c>
      <c r="B824" t="s">
        <v>36</v>
      </c>
      <c r="C824" t="s">
        <v>40</v>
      </c>
      <c r="D824" s="3">
        <v>30000</v>
      </c>
      <c r="E824">
        <v>0</v>
      </c>
      <c r="F824" t="s">
        <v>27</v>
      </c>
      <c r="G824" t="s">
        <v>14</v>
      </c>
      <c r="H824" t="s">
        <v>15</v>
      </c>
      <c r="I824">
        <v>2</v>
      </c>
      <c r="J824" t="s">
        <v>23</v>
      </c>
      <c r="K824" t="s">
        <v>32</v>
      </c>
      <c r="L824">
        <v>32</v>
      </c>
      <c r="M824" t="str">
        <f t="shared" si="12"/>
        <v>Middle age 31-54</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40</v>
      </c>
      <c r="D826" s="3">
        <v>110000</v>
      </c>
      <c r="E826">
        <v>2</v>
      </c>
      <c r="F826" t="s">
        <v>13</v>
      </c>
      <c r="G826" t="s">
        <v>28</v>
      </c>
      <c r="H826" t="s">
        <v>18</v>
      </c>
      <c r="I826">
        <v>3</v>
      </c>
      <c r="J826" t="s">
        <v>16</v>
      </c>
      <c r="K826" t="s">
        <v>32</v>
      </c>
      <c r="L826">
        <v>37</v>
      </c>
      <c r="M826" t="str">
        <f t="shared" si="12"/>
        <v>Middle age 31-54</v>
      </c>
      <c r="N826" t="s">
        <v>15</v>
      </c>
    </row>
    <row r="827" spans="1:14" x14ac:dyDescent="0.25">
      <c r="A827">
        <v>24433</v>
      </c>
      <c r="B827" t="s">
        <v>36</v>
      </c>
      <c r="C827" t="s">
        <v>40</v>
      </c>
      <c r="D827" s="3">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36</v>
      </c>
      <c r="C828" t="s">
        <v>40</v>
      </c>
      <c r="D828" s="3">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40</v>
      </c>
      <c r="D831" s="3">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40</v>
      </c>
      <c r="D832" s="3">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IF(L835&gt;55,"Old 55+",IF(L835&gt;=31,"Middle age 31-54",IF(L835&lt;31,"Adolescent 0-30","Invalid")))</f>
        <v>Middle age 31-54</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40</v>
      </c>
      <c r="D839" s="3">
        <v>60000</v>
      </c>
      <c r="E839">
        <v>1</v>
      </c>
      <c r="F839" t="s">
        <v>31</v>
      </c>
      <c r="G839" t="s">
        <v>14</v>
      </c>
      <c r="H839" t="s">
        <v>15</v>
      </c>
      <c r="I839">
        <v>0</v>
      </c>
      <c r="J839" t="s">
        <v>16</v>
      </c>
      <c r="K839" t="s">
        <v>32</v>
      </c>
      <c r="L839">
        <v>33</v>
      </c>
      <c r="M839" t="str">
        <f t="shared" si="13"/>
        <v>Middle age 31-54</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36</v>
      </c>
      <c r="C842" t="s">
        <v>40</v>
      </c>
      <c r="D842" s="3">
        <v>70000</v>
      </c>
      <c r="E842">
        <v>4</v>
      </c>
      <c r="F842" t="s">
        <v>19</v>
      </c>
      <c r="G842" t="s">
        <v>21</v>
      </c>
      <c r="H842" t="s">
        <v>15</v>
      </c>
      <c r="I842">
        <v>2</v>
      </c>
      <c r="J842" t="s">
        <v>47</v>
      </c>
      <c r="K842" t="s">
        <v>32</v>
      </c>
      <c r="L842">
        <v>53</v>
      </c>
      <c r="M842" t="str">
        <f t="shared" si="13"/>
        <v>Middle age 31-54</v>
      </c>
      <c r="N842" t="s">
        <v>18</v>
      </c>
    </row>
    <row r="843" spans="1:14" x14ac:dyDescent="0.25">
      <c r="A843">
        <v>12056</v>
      </c>
      <c r="B843" t="s">
        <v>36</v>
      </c>
      <c r="C843" t="s">
        <v>40</v>
      </c>
      <c r="D843" s="3">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25">
      <c r="A845">
        <v>18423</v>
      </c>
      <c r="B845" t="s">
        <v>37</v>
      </c>
      <c r="C845" t="s">
        <v>40</v>
      </c>
      <c r="D845" s="3">
        <v>80000</v>
      </c>
      <c r="E845">
        <v>2</v>
      </c>
      <c r="F845" t="s">
        <v>29</v>
      </c>
      <c r="G845" t="s">
        <v>14</v>
      </c>
      <c r="H845" t="s">
        <v>18</v>
      </c>
      <c r="I845">
        <v>2</v>
      </c>
      <c r="J845" t="s">
        <v>26</v>
      </c>
      <c r="K845" t="s">
        <v>32</v>
      </c>
      <c r="L845">
        <v>52</v>
      </c>
      <c r="M845" t="str">
        <f t="shared" si="13"/>
        <v>Middle age 31-54</v>
      </c>
      <c r="N845" t="s">
        <v>18</v>
      </c>
    </row>
    <row r="846" spans="1:14" x14ac:dyDescent="0.25">
      <c r="A846">
        <v>22743</v>
      </c>
      <c r="B846" t="s">
        <v>36</v>
      </c>
      <c r="C846" t="s">
        <v>39</v>
      </c>
      <c r="D846" s="3">
        <v>40000</v>
      </c>
      <c r="E846">
        <v>5</v>
      </c>
      <c r="F846" t="s">
        <v>27</v>
      </c>
      <c r="G846" t="s">
        <v>21</v>
      </c>
      <c r="H846" t="s">
        <v>15</v>
      </c>
      <c r="I846">
        <v>2</v>
      </c>
      <c r="J846" t="s">
        <v>47</v>
      </c>
      <c r="K846" t="s">
        <v>32</v>
      </c>
      <c r="L846">
        <v>60</v>
      </c>
      <c r="M846" t="str">
        <f t="shared" si="13"/>
        <v>Old 55+</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40</v>
      </c>
      <c r="D850" s="3">
        <v>130000</v>
      </c>
      <c r="E850">
        <v>0</v>
      </c>
      <c r="F850" t="s">
        <v>31</v>
      </c>
      <c r="G850" t="s">
        <v>28</v>
      </c>
      <c r="H850" t="s">
        <v>18</v>
      </c>
      <c r="I850">
        <v>2</v>
      </c>
      <c r="J850" t="s">
        <v>16</v>
      </c>
      <c r="K850" t="s">
        <v>32</v>
      </c>
      <c r="L850">
        <v>38</v>
      </c>
      <c r="M850" t="str">
        <f t="shared" si="13"/>
        <v>Middle age 31-54</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40</v>
      </c>
      <c r="D853" s="3">
        <v>60000</v>
      </c>
      <c r="E853">
        <v>0</v>
      </c>
      <c r="F853" t="s">
        <v>19</v>
      </c>
      <c r="G853" t="s">
        <v>14</v>
      </c>
      <c r="H853" t="s">
        <v>15</v>
      </c>
      <c r="I853">
        <v>1</v>
      </c>
      <c r="J853" t="s">
        <v>23</v>
      </c>
      <c r="K853" t="s">
        <v>32</v>
      </c>
      <c r="L853">
        <v>32</v>
      </c>
      <c r="M853" t="str">
        <f t="shared" si="13"/>
        <v>Middle age 31-54</v>
      </c>
      <c r="N853" t="s">
        <v>15</v>
      </c>
    </row>
    <row r="854" spans="1:14" x14ac:dyDescent="0.25">
      <c r="A854">
        <v>21613</v>
      </c>
      <c r="B854" t="s">
        <v>37</v>
      </c>
      <c r="C854" t="s">
        <v>40</v>
      </c>
      <c r="D854" s="3">
        <v>50000</v>
      </c>
      <c r="E854">
        <v>2</v>
      </c>
      <c r="F854" t="s">
        <v>13</v>
      </c>
      <c r="G854" t="s">
        <v>14</v>
      </c>
      <c r="H854" t="s">
        <v>18</v>
      </c>
      <c r="I854">
        <v>1</v>
      </c>
      <c r="J854" t="s">
        <v>16</v>
      </c>
      <c r="K854" t="s">
        <v>32</v>
      </c>
      <c r="L854">
        <v>39</v>
      </c>
      <c r="M854" t="str">
        <f t="shared" si="13"/>
        <v>Middle age 31-54</v>
      </c>
      <c r="N854" t="s">
        <v>15</v>
      </c>
    </row>
    <row r="855" spans="1:14" x14ac:dyDescent="0.25">
      <c r="A855">
        <v>24801</v>
      </c>
      <c r="B855" t="s">
        <v>37</v>
      </c>
      <c r="C855" t="s">
        <v>40</v>
      </c>
      <c r="D855" s="3">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25">
      <c r="A858">
        <v>29052</v>
      </c>
      <c r="B858" t="s">
        <v>37</v>
      </c>
      <c r="C858" t="s">
        <v>40</v>
      </c>
      <c r="D858" s="3">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36</v>
      </c>
      <c r="C860" t="s">
        <v>40</v>
      </c>
      <c r="D860" s="3">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36</v>
      </c>
      <c r="C861" t="s">
        <v>40</v>
      </c>
      <c r="D861" s="3">
        <v>30000</v>
      </c>
      <c r="E861">
        <v>2</v>
      </c>
      <c r="F861" t="s">
        <v>27</v>
      </c>
      <c r="G861" t="s">
        <v>14</v>
      </c>
      <c r="H861" t="s">
        <v>15</v>
      </c>
      <c r="I861">
        <v>2</v>
      </c>
      <c r="J861" t="s">
        <v>26</v>
      </c>
      <c r="K861" t="s">
        <v>32</v>
      </c>
      <c r="L861">
        <v>49</v>
      </c>
      <c r="M861" t="str">
        <f t="shared" si="13"/>
        <v>Middle age 31-54</v>
      </c>
      <c r="N861" t="s">
        <v>18</v>
      </c>
    </row>
    <row r="862" spans="1:14" x14ac:dyDescent="0.25">
      <c r="A862">
        <v>15839</v>
      </c>
      <c r="B862" t="s">
        <v>37</v>
      </c>
      <c r="C862" t="s">
        <v>40</v>
      </c>
      <c r="D862" s="3">
        <v>30000</v>
      </c>
      <c r="E862">
        <v>0</v>
      </c>
      <c r="F862" t="s">
        <v>19</v>
      </c>
      <c r="G862" t="s">
        <v>14</v>
      </c>
      <c r="H862" t="s">
        <v>15</v>
      </c>
      <c r="I862">
        <v>1</v>
      </c>
      <c r="J862" t="s">
        <v>23</v>
      </c>
      <c r="K862" t="s">
        <v>32</v>
      </c>
      <c r="L862">
        <v>32</v>
      </c>
      <c r="M862" t="str">
        <f t="shared" si="13"/>
        <v>Middle age 31-54</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25">
      <c r="A864">
        <v>22330</v>
      </c>
      <c r="B864" t="s">
        <v>36</v>
      </c>
      <c r="C864" t="s">
        <v>40</v>
      </c>
      <c r="D864" s="3">
        <v>50000</v>
      </c>
      <c r="E864">
        <v>0</v>
      </c>
      <c r="F864" t="s">
        <v>31</v>
      </c>
      <c r="G864" t="s">
        <v>14</v>
      </c>
      <c r="H864" t="s">
        <v>15</v>
      </c>
      <c r="I864">
        <v>0</v>
      </c>
      <c r="J864" t="s">
        <v>26</v>
      </c>
      <c r="K864" t="s">
        <v>32</v>
      </c>
      <c r="L864">
        <v>32</v>
      </c>
      <c r="M864" t="str">
        <f t="shared" si="13"/>
        <v>Middle age 31-54</v>
      </c>
      <c r="N864" t="s">
        <v>15</v>
      </c>
    </row>
    <row r="865" spans="1:14" x14ac:dyDescent="0.25">
      <c r="A865">
        <v>18783</v>
      </c>
      <c r="B865" t="s">
        <v>37</v>
      </c>
      <c r="C865" t="s">
        <v>40</v>
      </c>
      <c r="D865" s="3">
        <v>80000</v>
      </c>
      <c r="E865">
        <v>0</v>
      </c>
      <c r="F865" t="s">
        <v>13</v>
      </c>
      <c r="G865" t="s">
        <v>28</v>
      </c>
      <c r="H865" t="s">
        <v>18</v>
      </c>
      <c r="I865">
        <v>1</v>
      </c>
      <c r="J865" t="s">
        <v>16</v>
      </c>
      <c r="K865" t="s">
        <v>32</v>
      </c>
      <c r="L865">
        <v>38</v>
      </c>
      <c r="M865" t="str">
        <f t="shared" si="13"/>
        <v>Middle age 31-54</v>
      </c>
      <c r="N865" t="s">
        <v>15</v>
      </c>
    </row>
    <row r="866" spans="1:14" x14ac:dyDescent="0.25">
      <c r="A866">
        <v>25041</v>
      </c>
      <c r="B866" t="s">
        <v>37</v>
      </c>
      <c r="C866" t="s">
        <v>40</v>
      </c>
      <c r="D866" s="3">
        <v>40000</v>
      </c>
      <c r="E866">
        <v>0</v>
      </c>
      <c r="F866" t="s">
        <v>27</v>
      </c>
      <c r="G866" t="s">
        <v>14</v>
      </c>
      <c r="H866" t="s">
        <v>15</v>
      </c>
      <c r="I866">
        <v>2</v>
      </c>
      <c r="J866" t="s">
        <v>23</v>
      </c>
      <c r="K866" t="s">
        <v>32</v>
      </c>
      <c r="L866">
        <v>31</v>
      </c>
      <c r="M866" t="str">
        <f t="shared" si="13"/>
        <v>Middle age 31-54</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25">
      <c r="A868">
        <v>28052</v>
      </c>
      <c r="B868" t="s">
        <v>36</v>
      </c>
      <c r="C868" t="s">
        <v>40</v>
      </c>
      <c r="D868" s="3">
        <v>60000</v>
      </c>
      <c r="E868">
        <v>2</v>
      </c>
      <c r="F868" t="s">
        <v>27</v>
      </c>
      <c r="G868" t="s">
        <v>21</v>
      </c>
      <c r="H868" t="s">
        <v>15</v>
      </c>
      <c r="I868">
        <v>2</v>
      </c>
      <c r="J868" t="s">
        <v>47</v>
      </c>
      <c r="K868" t="s">
        <v>32</v>
      </c>
      <c r="L868">
        <v>55</v>
      </c>
      <c r="M868" t="str">
        <f t="shared" si="13"/>
        <v>Middle age 31-54</v>
      </c>
      <c r="N868" t="s">
        <v>18</v>
      </c>
    </row>
    <row r="869" spans="1:14" x14ac:dyDescent="0.25">
      <c r="A869">
        <v>26693</v>
      </c>
      <c r="B869" t="s">
        <v>36</v>
      </c>
      <c r="C869" t="s">
        <v>40</v>
      </c>
      <c r="D869" s="3">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40</v>
      </c>
      <c r="D870" s="3">
        <v>30000</v>
      </c>
      <c r="E870">
        <v>5</v>
      </c>
      <c r="F870" t="s">
        <v>29</v>
      </c>
      <c r="G870" t="s">
        <v>14</v>
      </c>
      <c r="H870" t="s">
        <v>15</v>
      </c>
      <c r="I870">
        <v>3</v>
      </c>
      <c r="J870" t="s">
        <v>47</v>
      </c>
      <c r="K870" t="s">
        <v>32</v>
      </c>
      <c r="L870">
        <v>60</v>
      </c>
      <c r="M870" t="str">
        <f t="shared" si="13"/>
        <v>Old 55+</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25">
      <c r="A872">
        <v>13942</v>
      </c>
      <c r="B872" t="s">
        <v>36</v>
      </c>
      <c r="C872" t="s">
        <v>40</v>
      </c>
      <c r="D872" s="3">
        <v>60000</v>
      </c>
      <c r="E872">
        <v>1</v>
      </c>
      <c r="F872" t="s">
        <v>19</v>
      </c>
      <c r="G872" t="s">
        <v>14</v>
      </c>
      <c r="H872" t="s">
        <v>15</v>
      </c>
      <c r="I872">
        <v>1</v>
      </c>
      <c r="J872" t="s">
        <v>16</v>
      </c>
      <c r="K872" t="s">
        <v>32</v>
      </c>
      <c r="L872">
        <v>46</v>
      </c>
      <c r="M872" t="str">
        <f t="shared" si="13"/>
        <v>Middle age 31-54</v>
      </c>
      <c r="N872" t="s">
        <v>18</v>
      </c>
    </row>
    <row r="873" spans="1:14" x14ac:dyDescent="0.25">
      <c r="A873">
        <v>11219</v>
      </c>
      <c r="B873" t="s">
        <v>36</v>
      </c>
      <c r="C873" t="s">
        <v>40</v>
      </c>
      <c r="D873" s="3">
        <v>60000</v>
      </c>
      <c r="E873">
        <v>2</v>
      </c>
      <c r="F873" t="s">
        <v>27</v>
      </c>
      <c r="G873" t="s">
        <v>21</v>
      </c>
      <c r="H873" t="s">
        <v>15</v>
      </c>
      <c r="I873">
        <v>2</v>
      </c>
      <c r="J873" t="s">
        <v>47</v>
      </c>
      <c r="K873" t="s">
        <v>32</v>
      </c>
      <c r="L873">
        <v>55</v>
      </c>
      <c r="M873" t="str">
        <f t="shared" si="13"/>
        <v>Middle age 31-54</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25">
      <c r="A875">
        <v>23197</v>
      </c>
      <c r="B875" t="s">
        <v>36</v>
      </c>
      <c r="C875" t="s">
        <v>40</v>
      </c>
      <c r="D875" s="3">
        <v>50000</v>
      </c>
      <c r="E875">
        <v>3</v>
      </c>
      <c r="F875" t="s">
        <v>13</v>
      </c>
      <c r="G875" t="s">
        <v>14</v>
      </c>
      <c r="H875" t="s">
        <v>15</v>
      </c>
      <c r="I875">
        <v>2</v>
      </c>
      <c r="J875" t="s">
        <v>22</v>
      </c>
      <c r="K875" t="s">
        <v>32</v>
      </c>
      <c r="L875">
        <v>40</v>
      </c>
      <c r="M875" t="str">
        <f t="shared" si="13"/>
        <v>Middle age 31-54</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25">
      <c r="A878">
        <v>18322</v>
      </c>
      <c r="B878" t="s">
        <v>37</v>
      </c>
      <c r="C878" t="s">
        <v>40</v>
      </c>
      <c r="D878" s="3">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40</v>
      </c>
      <c r="D879" s="3">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40</v>
      </c>
      <c r="D880" s="3">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40</v>
      </c>
      <c r="D881" s="3">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36</v>
      </c>
      <c r="C882" t="s">
        <v>40</v>
      </c>
      <c r="D882" s="3">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40</v>
      </c>
      <c r="D884" s="3">
        <v>30000</v>
      </c>
      <c r="E884">
        <v>0</v>
      </c>
      <c r="F884" t="s">
        <v>31</v>
      </c>
      <c r="G884" t="s">
        <v>14</v>
      </c>
      <c r="H884" t="s">
        <v>15</v>
      </c>
      <c r="I884">
        <v>0</v>
      </c>
      <c r="J884" t="s">
        <v>16</v>
      </c>
      <c r="K884" t="s">
        <v>32</v>
      </c>
      <c r="L884">
        <v>32</v>
      </c>
      <c r="M884" t="str">
        <f t="shared" si="13"/>
        <v>Middle age 31-54</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36</v>
      </c>
      <c r="C886" t="s">
        <v>40</v>
      </c>
      <c r="D886" s="3">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36</v>
      </c>
      <c r="C888" t="s">
        <v>40</v>
      </c>
      <c r="D888" s="3">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36</v>
      </c>
      <c r="C889" t="s">
        <v>40</v>
      </c>
      <c r="D889" s="3">
        <v>50000</v>
      </c>
      <c r="E889">
        <v>0</v>
      </c>
      <c r="F889" t="s">
        <v>31</v>
      </c>
      <c r="G889" t="s">
        <v>14</v>
      </c>
      <c r="H889" t="s">
        <v>15</v>
      </c>
      <c r="I889">
        <v>0</v>
      </c>
      <c r="J889" t="s">
        <v>16</v>
      </c>
      <c r="K889" t="s">
        <v>32</v>
      </c>
      <c r="L889">
        <v>32</v>
      </c>
      <c r="M889" t="str">
        <f t="shared" si="13"/>
        <v>Middle age 31-54</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40</v>
      </c>
      <c r="D893" s="3">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25">
      <c r="A895">
        <v>14569</v>
      </c>
      <c r="B895" t="s">
        <v>36</v>
      </c>
      <c r="C895" t="s">
        <v>40</v>
      </c>
      <c r="D895" s="3">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36</v>
      </c>
      <c r="C896" t="s">
        <v>40</v>
      </c>
      <c r="D896" s="3">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25">
      <c r="A899">
        <v>12029</v>
      </c>
      <c r="B899" t="s">
        <v>36</v>
      </c>
      <c r="C899" t="s">
        <v>40</v>
      </c>
      <c r="D899" s="3">
        <v>30000</v>
      </c>
      <c r="E899">
        <v>0</v>
      </c>
      <c r="F899" t="s">
        <v>29</v>
      </c>
      <c r="G899" t="s">
        <v>20</v>
      </c>
      <c r="H899" t="s">
        <v>18</v>
      </c>
      <c r="I899">
        <v>2</v>
      </c>
      <c r="J899" t="s">
        <v>16</v>
      </c>
      <c r="K899" t="s">
        <v>32</v>
      </c>
      <c r="L899">
        <v>28</v>
      </c>
      <c r="M899" t="str">
        <f t="shared" ref="M899:M962" si="14">IF(L899&gt;55,"Old 55+",IF(L899&gt;=31,"Middle age 31-54",IF(L899&lt;31,"Adolescent 0-30","Invalid")))</f>
        <v>Adolescent 0-30</v>
      </c>
      <c r="N899" t="s">
        <v>18</v>
      </c>
    </row>
    <row r="900" spans="1:14" x14ac:dyDescent="0.25">
      <c r="A900">
        <v>18066</v>
      </c>
      <c r="B900" t="s">
        <v>37</v>
      </c>
      <c r="C900" t="s">
        <v>40</v>
      </c>
      <c r="D900" s="3">
        <v>70000</v>
      </c>
      <c r="E900">
        <v>5</v>
      </c>
      <c r="F900" t="s">
        <v>13</v>
      </c>
      <c r="G900" t="s">
        <v>28</v>
      </c>
      <c r="H900" t="s">
        <v>15</v>
      </c>
      <c r="I900">
        <v>3</v>
      </c>
      <c r="J900" t="s">
        <v>47</v>
      </c>
      <c r="K900" t="s">
        <v>32</v>
      </c>
      <c r="L900">
        <v>60</v>
      </c>
      <c r="M900" t="str">
        <f t="shared" si="14"/>
        <v>Old 55+</v>
      </c>
      <c r="N900" t="s">
        <v>15</v>
      </c>
    </row>
    <row r="901" spans="1:14" x14ac:dyDescent="0.25">
      <c r="A901">
        <v>28192</v>
      </c>
      <c r="B901" t="s">
        <v>36</v>
      </c>
      <c r="C901" t="s">
        <v>39</v>
      </c>
      <c r="D901" s="3">
        <v>70000</v>
      </c>
      <c r="E901">
        <v>5</v>
      </c>
      <c r="F901" t="s">
        <v>31</v>
      </c>
      <c r="G901" t="s">
        <v>21</v>
      </c>
      <c r="H901" t="s">
        <v>15</v>
      </c>
      <c r="I901">
        <v>3</v>
      </c>
      <c r="J901" t="s">
        <v>47</v>
      </c>
      <c r="K901" t="s">
        <v>32</v>
      </c>
      <c r="L901">
        <v>46</v>
      </c>
      <c r="M901" t="str">
        <f t="shared" si="14"/>
        <v>Middle age 31-54</v>
      </c>
      <c r="N901" t="s">
        <v>18</v>
      </c>
    </row>
    <row r="902" spans="1:14" x14ac:dyDescent="0.25">
      <c r="A902">
        <v>16122</v>
      </c>
      <c r="B902" t="s">
        <v>36</v>
      </c>
      <c r="C902" t="s">
        <v>40</v>
      </c>
      <c r="D902" s="3">
        <v>40000</v>
      </c>
      <c r="E902">
        <v>4</v>
      </c>
      <c r="F902" t="s">
        <v>27</v>
      </c>
      <c r="G902" t="s">
        <v>14</v>
      </c>
      <c r="H902" t="s">
        <v>15</v>
      </c>
      <c r="I902">
        <v>2</v>
      </c>
      <c r="J902" t="s">
        <v>16</v>
      </c>
      <c r="K902" t="s">
        <v>32</v>
      </c>
      <c r="L902">
        <v>44</v>
      </c>
      <c r="M902" t="str">
        <f t="shared" si="14"/>
        <v>Middle age 31-54</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25">
      <c r="A904">
        <v>28858</v>
      </c>
      <c r="B904" t="s">
        <v>37</v>
      </c>
      <c r="C904" t="s">
        <v>40</v>
      </c>
      <c r="D904" s="3">
        <v>80000</v>
      </c>
      <c r="E904">
        <v>3</v>
      </c>
      <c r="F904" t="s">
        <v>13</v>
      </c>
      <c r="G904" t="s">
        <v>14</v>
      </c>
      <c r="H904" t="s">
        <v>15</v>
      </c>
      <c r="I904">
        <v>0</v>
      </c>
      <c r="J904" t="s">
        <v>22</v>
      </c>
      <c r="K904" t="s">
        <v>32</v>
      </c>
      <c r="L904">
        <v>40</v>
      </c>
      <c r="M904" t="str">
        <f t="shared" si="14"/>
        <v>Middle age 31-54</v>
      </c>
      <c r="N904" t="s">
        <v>18</v>
      </c>
    </row>
    <row r="905" spans="1:14" x14ac:dyDescent="0.25">
      <c r="A905">
        <v>14432</v>
      </c>
      <c r="B905" t="s">
        <v>37</v>
      </c>
      <c r="C905" t="s">
        <v>40</v>
      </c>
      <c r="D905" s="3">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25">
      <c r="A907">
        <v>22050</v>
      </c>
      <c r="B907" t="s">
        <v>37</v>
      </c>
      <c r="C907" t="s">
        <v>40</v>
      </c>
      <c r="D907" s="3">
        <v>90000</v>
      </c>
      <c r="E907">
        <v>4</v>
      </c>
      <c r="F907" t="s">
        <v>13</v>
      </c>
      <c r="G907" t="s">
        <v>28</v>
      </c>
      <c r="H907" t="s">
        <v>15</v>
      </c>
      <c r="I907">
        <v>1</v>
      </c>
      <c r="J907" t="s">
        <v>26</v>
      </c>
      <c r="K907" t="s">
        <v>32</v>
      </c>
      <c r="L907">
        <v>38</v>
      </c>
      <c r="M907" t="str">
        <f t="shared" si="14"/>
        <v>Middle age 31-54</v>
      </c>
      <c r="N907" t="s">
        <v>15</v>
      </c>
    </row>
    <row r="908" spans="1:14" x14ac:dyDescent="0.25">
      <c r="A908">
        <v>25394</v>
      </c>
      <c r="B908" t="s">
        <v>36</v>
      </c>
      <c r="C908" t="s">
        <v>40</v>
      </c>
      <c r="D908" s="3">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36</v>
      </c>
      <c r="C909" t="s">
        <v>40</v>
      </c>
      <c r="D909" s="3">
        <v>50000</v>
      </c>
      <c r="E909">
        <v>4</v>
      </c>
      <c r="F909" t="s">
        <v>13</v>
      </c>
      <c r="G909" t="s">
        <v>28</v>
      </c>
      <c r="H909" t="s">
        <v>15</v>
      </c>
      <c r="I909">
        <v>2</v>
      </c>
      <c r="J909" t="s">
        <v>47</v>
      </c>
      <c r="K909" t="s">
        <v>32</v>
      </c>
      <c r="L909">
        <v>63</v>
      </c>
      <c r="M909" t="str">
        <f t="shared" si="14"/>
        <v>Old 55+</v>
      </c>
      <c r="N909" t="s">
        <v>18</v>
      </c>
    </row>
    <row r="910" spans="1:14" x14ac:dyDescent="0.25">
      <c r="A910">
        <v>23195</v>
      </c>
      <c r="B910" t="s">
        <v>37</v>
      </c>
      <c r="C910" t="s">
        <v>40</v>
      </c>
      <c r="D910" s="3">
        <v>50000</v>
      </c>
      <c r="E910">
        <v>3</v>
      </c>
      <c r="F910" t="s">
        <v>13</v>
      </c>
      <c r="G910" t="s">
        <v>14</v>
      </c>
      <c r="H910" t="s">
        <v>15</v>
      </c>
      <c r="I910">
        <v>2</v>
      </c>
      <c r="J910" t="s">
        <v>22</v>
      </c>
      <c r="K910" t="s">
        <v>32</v>
      </c>
      <c r="L910">
        <v>41</v>
      </c>
      <c r="M910" t="str">
        <f t="shared" si="14"/>
        <v>Middle age 31-54</v>
      </c>
      <c r="N910" t="s">
        <v>15</v>
      </c>
    </row>
    <row r="911" spans="1:14" x14ac:dyDescent="0.25">
      <c r="A911">
        <v>21695</v>
      </c>
      <c r="B911" t="s">
        <v>36</v>
      </c>
      <c r="C911" t="s">
        <v>40</v>
      </c>
      <c r="D911" s="3">
        <v>60000</v>
      </c>
      <c r="E911">
        <v>0</v>
      </c>
      <c r="F911" t="s">
        <v>31</v>
      </c>
      <c r="G911" t="s">
        <v>14</v>
      </c>
      <c r="H911" t="s">
        <v>15</v>
      </c>
      <c r="I911">
        <v>0</v>
      </c>
      <c r="J911" t="s">
        <v>26</v>
      </c>
      <c r="K911" t="s">
        <v>32</v>
      </c>
      <c r="L911">
        <v>39</v>
      </c>
      <c r="M911" t="str">
        <f t="shared" si="14"/>
        <v>Middle age 31-54</v>
      </c>
      <c r="N911" t="s">
        <v>15</v>
      </c>
    </row>
    <row r="912" spans="1:14" x14ac:dyDescent="0.25">
      <c r="A912">
        <v>13934</v>
      </c>
      <c r="B912" t="s">
        <v>36</v>
      </c>
      <c r="C912" t="s">
        <v>40</v>
      </c>
      <c r="D912" s="3">
        <v>40000</v>
      </c>
      <c r="E912">
        <v>4</v>
      </c>
      <c r="F912" t="s">
        <v>27</v>
      </c>
      <c r="G912" t="s">
        <v>14</v>
      </c>
      <c r="H912" t="s">
        <v>15</v>
      </c>
      <c r="I912">
        <v>2</v>
      </c>
      <c r="J912" t="s">
        <v>22</v>
      </c>
      <c r="K912" t="s">
        <v>32</v>
      </c>
      <c r="L912">
        <v>46</v>
      </c>
      <c r="M912" t="str">
        <f t="shared" si="14"/>
        <v>Middle age 31-54</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40</v>
      </c>
      <c r="D915" s="3">
        <v>60000</v>
      </c>
      <c r="E915">
        <v>2</v>
      </c>
      <c r="F915" t="s">
        <v>13</v>
      </c>
      <c r="G915" t="s">
        <v>14</v>
      </c>
      <c r="H915" t="s">
        <v>15</v>
      </c>
      <c r="I915">
        <v>0</v>
      </c>
      <c r="J915" t="s">
        <v>22</v>
      </c>
      <c r="K915" t="s">
        <v>32</v>
      </c>
      <c r="L915">
        <v>36</v>
      </c>
      <c r="M915" t="str">
        <f t="shared" si="14"/>
        <v>Middle age 31-54</v>
      </c>
      <c r="N915" t="s">
        <v>15</v>
      </c>
    </row>
    <row r="916" spans="1:14" x14ac:dyDescent="0.25">
      <c r="A916">
        <v>21713</v>
      </c>
      <c r="B916" t="s">
        <v>37</v>
      </c>
      <c r="C916" t="s">
        <v>40</v>
      </c>
      <c r="D916" s="3">
        <v>80000</v>
      </c>
      <c r="E916">
        <v>5</v>
      </c>
      <c r="F916" t="s">
        <v>31</v>
      </c>
      <c r="G916" t="s">
        <v>14</v>
      </c>
      <c r="H916" t="s">
        <v>18</v>
      </c>
      <c r="I916">
        <v>0</v>
      </c>
      <c r="J916" t="s">
        <v>16</v>
      </c>
      <c r="K916" t="s">
        <v>32</v>
      </c>
      <c r="L916">
        <v>47</v>
      </c>
      <c r="M916" t="str">
        <f t="shared" si="14"/>
        <v>Middle age 31-54</v>
      </c>
      <c r="N916" t="s">
        <v>18</v>
      </c>
    </row>
    <row r="917" spans="1:14" x14ac:dyDescent="0.25">
      <c r="A917">
        <v>21752</v>
      </c>
      <c r="B917" t="s">
        <v>36</v>
      </c>
      <c r="C917" t="s">
        <v>40</v>
      </c>
      <c r="D917" s="3">
        <v>60000</v>
      </c>
      <c r="E917">
        <v>3</v>
      </c>
      <c r="F917" t="s">
        <v>31</v>
      </c>
      <c r="G917" t="s">
        <v>28</v>
      </c>
      <c r="H917" t="s">
        <v>15</v>
      </c>
      <c r="I917">
        <v>2</v>
      </c>
      <c r="J917" t="s">
        <v>47</v>
      </c>
      <c r="K917" t="s">
        <v>32</v>
      </c>
      <c r="L917">
        <v>64</v>
      </c>
      <c r="M917" t="str">
        <f t="shared" si="14"/>
        <v>Old 55+</v>
      </c>
      <c r="N917" t="s">
        <v>18</v>
      </c>
    </row>
    <row r="918" spans="1:14" x14ac:dyDescent="0.25">
      <c r="A918">
        <v>27273</v>
      </c>
      <c r="B918" t="s">
        <v>37</v>
      </c>
      <c r="C918" t="s">
        <v>40</v>
      </c>
      <c r="D918" s="3">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40</v>
      </c>
      <c r="D919" s="3">
        <v>110000</v>
      </c>
      <c r="E919">
        <v>3</v>
      </c>
      <c r="F919" t="s">
        <v>13</v>
      </c>
      <c r="G919" t="s">
        <v>28</v>
      </c>
      <c r="H919" t="s">
        <v>15</v>
      </c>
      <c r="I919">
        <v>4</v>
      </c>
      <c r="J919" t="s">
        <v>22</v>
      </c>
      <c r="K919" t="s">
        <v>32</v>
      </c>
      <c r="L919">
        <v>40</v>
      </c>
      <c r="M919" t="str">
        <f t="shared" si="14"/>
        <v>Middle age 31-54</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25">
      <c r="A921">
        <v>21451</v>
      </c>
      <c r="B921" t="s">
        <v>36</v>
      </c>
      <c r="C921" t="s">
        <v>39</v>
      </c>
      <c r="D921" s="3">
        <v>40000</v>
      </c>
      <c r="E921">
        <v>4</v>
      </c>
      <c r="F921" t="s">
        <v>27</v>
      </c>
      <c r="G921" t="s">
        <v>21</v>
      </c>
      <c r="H921" t="s">
        <v>15</v>
      </c>
      <c r="I921">
        <v>2</v>
      </c>
      <c r="J921" t="s">
        <v>47</v>
      </c>
      <c r="K921" t="s">
        <v>32</v>
      </c>
      <c r="L921">
        <v>61</v>
      </c>
      <c r="M921" t="str">
        <f t="shared" si="14"/>
        <v>Old 55+</v>
      </c>
      <c r="N921" t="s">
        <v>18</v>
      </c>
    </row>
    <row r="922" spans="1:14" x14ac:dyDescent="0.25">
      <c r="A922">
        <v>20754</v>
      </c>
      <c r="B922" t="s">
        <v>36</v>
      </c>
      <c r="C922" t="s">
        <v>40</v>
      </c>
      <c r="D922" s="3">
        <v>30000</v>
      </c>
      <c r="E922">
        <v>2</v>
      </c>
      <c r="F922" t="s">
        <v>27</v>
      </c>
      <c r="G922" t="s">
        <v>14</v>
      </c>
      <c r="H922" t="s">
        <v>15</v>
      </c>
      <c r="I922">
        <v>2</v>
      </c>
      <c r="J922" t="s">
        <v>26</v>
      </c>
      <c r="K922" t="s">
        <v>32</v>
      </c>
      <c r="L922">
        <v>51</v>
      </c>
      <c r="M922" t="str">
        <f t="shared" si="14"/>
        <v>Middle age 31-54</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40</v>
      </c>
      <c r="D925" s="3">
        <v>70000</v>
      </c>
      <c r="E925">
        <v>3</v>
      </c>
      <c r="F925" t="s">
        <v>31</v>
      </c>
      <c r="G925" t="s">
        <v>28</v>
      </c>
      <c r="H925" t="s">
        <v>18</v>
      </c>
      <c r="I925">
        <v>2</v>
      </c>
      <c r="J925" t="s">
        <v>26</v>
      </c>
      <c r="K925" t="s">
        <v>32</v>
      </c>
      <c r="L925">
        <v>53</v>
      </c>
      <c r="M925" t="str">
        <f t="shared" si="14"/>
        <v>Middle age 31-54</v>
      </c>
      <c r="N925" t="s">
        <v>15</v>
      </c>
    </row>
    <row r="926" spans="1:14" x14ac:dyDescent="0.25">
      <c r="A926">
        <v>11090</v>
      </c>
      <c r="B926" t="s">
        <v>37</v>
      </c>
      <c r="C926" t="s">
        <v>40</v>
      </c>
      <c r="D926" s="3">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25">
      <c r="A928">
        <v>26495</v>
      </c>
      <c r="B928" t="s">
        <v>37</v>
      </c>
      <c r="C928" t="s">
        <v>39</v>
      </c>
      <c r="D928" s="3">
        <v>40000</v>
      </c>
      <c r="E928">
        <v>2</v>
      </c>
      <c r="F928" t="s">
        <v>27</v>
      </c>
      <c r="G928" t="s">
        <v>21</v>
      </c>
      <c r="H928" t="s">
        <v>15</v>
      </c>
      <c r="I928">
        <v>2</v>
      </c>
      <c r="J928" t="s">
        <v>47</v>
      </c>
      <c r="K928" t="s">
        <v>32</v>
      </c>
      <c r="L928">
        <v>57</v>
      </c>
      <c r="M928" t="str">
        <f t="shared" si="14"/>
        <v>Old 55+</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36</v>
      </c>
      <c r="C930" t="s">
        <v>40</v>
      </c>
      <c r="D930" s="3">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36</v>
      </c>
      <c r="C931" t="s">
        <v>40</v>
      </c>
      <c r="D931" s="3">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36</v>
      </c>
      <c r="C932" t="s">
        <v>40</v>
      </c>
      <c r="D932" s="3">
        <v>70000</v>
      </c>
      <c r="E932">
        <v>5</v>
      </c>
      <c r="F932" t="s">
        <v>31</v>
      </c>
      <c r="G932" t="s">
        <v>21</v>
      </c>
      <c r="H932" t="s">
        <v>18</v>
      </c>
      <c r="I932">
        <v>3</v>
      </c>
      <c r="J932" t="s">
        <v>47</v>
      </c>
      <c r="K932" t="s">
        <v>32</v>
      </c>
      <c r="L932">
        <v>47</v>
      </c>
      <c r="M932" t="str">
        <f t="shared" si="14"/>
        <v>Middle age 31-54</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40</v>
      </c>
      <c r="D935" s="3">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40</v>
      </c>
      <c r="D936" s="3">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40</v>
      </c>
      <c r="D939" s="3">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40</v>
      </c>
      <c r="D941" s="3">
        <v>80000</v>
      </c>
      <c r="E941">
        <v>2</v>
      </c>
      <c r="F941" t="s">
        <v>29</v>
      </c>
      <c r="G941" t="s">
        <v>14</v>
      </c>
      <c r="H941" t="s">
        <v>18</v>
      </c>
      <c r="I941">
        <v>2</v>
      </c>
      <c r="J941" t="s">
        <v>26</v>
      </c>
      <c r="K941" t="s">
        <v>32</v>
      </c>
      <c r="L941">
        <v>50</v>
      </c>
      <c r="M941" t="str">
        <f t="shared" si="14"/>
        <v>Middle age 31-54</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25">
      <c r="A947">
        <v>25419</v>
      </c>
      <c r="B947" t="s">
        <v>37</v>
      </c>
      <c r="C947" t="s">
        <v>40</v>
      </c>
      <c r="D947" s="3">
        <v>50000</v>
      </c>
      <c r="E947">
        <v>2</v>
      </c>
      <c r="F947" t="s">
        <v>13</v>
      </c>
      <c r="G947" t="s">
        <v>14</v>
      </c>
      <c r="H947" t="s">
        <v>18</v>
      </c>
      <c r="I947">
        <v>1</v>
      </c>
      <c r="J947" t="s">
        <v>16</v>
      </c>
      <c r="K947" t="s">
        <v>32</v>
      </c>
      <c r="L947">
        <v>38</v>
      </c>
      <c r="M947" t="str">
        <f t="shared" si="14"/>
        <v>Middle age 31-54</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25">
      <c r="A951">
        <v>28056</v>
      </c>
      <c r="B951" t="s">
        <v>36</v>
      </c>
      <c r="C951" t="s">
        <v>40</v>
      </c>
      <c r="D951" s="3">
        <v>70000</v>
      </c>
      <c r="E951">
        <v>2</v>
      </c>
      <c r="F951" t="s">
        <v>29</v>
      </c>
      <c r="G951" t="s">
        <v>14</v>
      </c>
      <c r="H951" t="s">
        <v>15</v>
      </c>
      <c r="I951">
        <v>2</v>
      </c>
      <c r="J951" t="s">
        <v>47</v>
      </c>
      <c r="K951" t="s">
        <v>32</v>
      </c>
      <c r="L951">
        <v>53</v>
      </c>
      <c r="M951" t="str">
        <f t="shared" si="14"/>
        <v>Middle age 31-54</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36</v>
      </c>
      <c r="C953" t="s">
        <v>40</v>
      </c>
      <c r="D953" s="3">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40</v>
      </c>
      <c r="D956" s="3">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40</v>
      </c>
      <c r="D960" s="3">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36</v>
      </c>
      <c r="C961" t="s">
        <v>40</v>
      </c>
      <c r="D961" s="3">
        <v>60000</v>
      </c>
      <c r="E961">
        <v>1</v>
      </c>
      <c r="F961" t="s">
        <v>19</v>
      </c>
      <c r="G961" t="s">
        <v>14</v>
      </c>
      <c r="H961" t="s">
        <v>15</v>
      </c>
      <c r="I961">
        <v>1</v>
      </c>
      <c r="J961" t="s">
        <v>22</v>
      </c>
      <c r="K961" t="s">
        <v>32</v>
      </c>
      <c r="L961">
        <v>45</v>
      </c>
      <c r="M961" t="str">
        <f t="shared" si="14"/>
        <v>Middle age 31-54</v>
      </c>
      <c r="N961" t="s">
        <v>15</v>
      </c>
    </row>
    <row r="962" spans="1:14" x14ac:dyDescent="0.25">
      <c r="A962">
        <v>23491</v>
      </c>
      <c r="B962" t="s">
        <v>37</v>
      </c>
      <c r="C962" t="s">
        <v>40</v>
      </c>
      <c r="D962" s="3">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IF(L963&gt;55,"Old 55+",IF(L963&gt;=31,"Middle age 31-54",IF(L963&lt;31,"Adolescent 0-30","Invalid")))</f>
        <v>Old 55+</v>
      </c>
      <c r="N963" t="s">
        <v>18</v>
      </c>
    </row>
    <row r="964" spans="1:14" x14ac:dyDescent="0.25">
      <c r="A964">
        <v>16813</v>
      </c>
      <c r="B964" t="s">
        <v>36</v>
      </c>
      <c r="C964" t="s">
        <v>40</v>
      </c>
      <c r="D964" s="3">
        <v>60000</v>
      </c>
      <c r="E964">
        <v>2</v>
      </c>
      <c r="F964" t="s">
        <v>19</v>
      </c>
      <c r="G964" t="s">
        <v>21</v>
      </c>
      <c r="H964" t="s">
        <v>15</v>
      </c>
      <c r="I964">
        <v>2</v>
      </c>
      <c r="J964" t="s">
        <v>47</v>
      </c>
      <c r="K964" t="s">
        <v>32</v>
      </c>
      <c r="L964">
        <v>55</v>
      </c>
      <c r="M964" t="str">
        <f t="shared" si="15"/>
        <v>Middle age 31-54</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40</v>
      </c>
      <c r="D966" s="3">
        <v>70000</v>
      </c>
      <c r="E966">
        <v>4</v>
      </c>
      <c r="F966" t="s">
        <v>19</v>
      </c>
      <c r="G966" t="s">
        <v>21</v>
      </c>
      <c r="H966" t="s">
        <v>15</v>
      </c>
      <c r="I966">
        <v>1</v>
      </c>
      <c r="J966" t="s">
        <v>47</v>
      </c>
      <c r="K966" t="s">
        <v>32</v>
      </c>
      <c r="L966">
        <v>56</v>
      </c>
      <c r="M966" t="str">
        <f t="shared" si="15"/>
        <v>Old 55+</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25">
      <c r="A969">
        <v>19012</v>
      </c>
      <c r="B969" t="s">
        <v>36</v>
      </c>
      <c r="C969" t="s">
        <v>40</v>
      </c>
      <c r="D969" s="3">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40</v>
      </c>
      <c r="D970" s="3">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40</v>
      </c>
      <c r="D971" s="3">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36</v>
      </c>
      <c r="C975" t="s">
        <v>40</v>
      </c>
      <c r="D975" s="3">
        <v>60000</v>
      </c>
      <c r="E975">
        <v>1</v>
      </c>
      <c r="F975" t="s">
        <v>19</v>
      </c>
      <c r="G975" t="s">
        <v>14</v>
      </c>
      <c r="H975" t="s">
        <v>18</v>
      </c>
      <c r="I975">
        <v>1</v>
      </c>
      <c r="J975" t="s">
        <v>16</v>
      </c>
      <c r="K975" t="s">
        <v>32</v>
      </c>
      <c r="L975">
        <v>47</v>
      </c>
      <c r="M975" t="str">
        <f t="shared" si="15"/>
        <v>Middle age 31-54</v>
      </c>
      <c r="N975" t="s">
        <v>18</v>
      </c>
    </row>
    <row r="976" spans="1:14" x14ac:dyDescent="0.25">
      <c r="A976">
        <v>17462</v>
      </c>
      <c r="B976" t="s">
        <v>36</v>
      </c>
      <c r="C976" t="s">
        <v>40</v>
      </c>
      <c r="D976" s="3">
        <v>70000</v>
      </c>
      <c r="E976">
        <v>3</v>
      </c>
      <c r="F976" t="s">
        <v>31</v>
      </c>
      <c r="G976" t="s">
        <v>28</v>
      </c>
      <c r="H976" t="s">
        <v>15</v>
      </c>
      <c r="I976">
        <v>2</v>
      </c>
      <c r="J976" t="s">
        <v>23</v>
      </c>
      <c r="K976" t="s">
        <v>32</v>
      </c>
      <c r="L976">
        <v>53</v>
      </c>
      <c r="M976" t="str">
        <f t="shared" si="15"/>
        <v>Middle age 31-54</v>
      </c>
      <c r="N976" t="s">
        <v>15</v>
      </c>
    </row>
    <row r="977" spans="1:14" x14ac:dyDescent="0.25">
      <c r="A977">
        <v>20659</v>
      </c>
      <c r="B977" t="s">
        <v>36</v>
      </c>
      <c r="C977" t="s">
        <v>40</v>
      </c>
      <c r="D977" s="3">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36</v>
      </c>
      <c r="C978" t="s">
        <v>39</v>
      </c>
      <c r="D978" s="3">
        <v>60000</v>
      </c>
      <c r="E978">
        <v>3</v>
      </c>
      <c r="F978" t="s">
        <v>13</v>
      </c>
      <c r="G978" t="s">
        <v>28</v>
      </c>
      <c r="H978" t="s">
        <v>15</v>
      </c>
      <c r="I978">
        <v>2</v>
      </c>
      <c r="J978" t="s">
        <v>47</v>
      </c>
      <c r="K978" t="s">
        <v>32</v>
      </c>
      <c r="L978">
        <v>66</v>
      </c>
      <c r="M978" t="str">
        <f t="shared" si="15"/>
        <v>Old 55+</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40</v>
      </c>
      <c r="D980" s="3">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40</v>
      </c>
      <c r="D981" s="3">
        <v>40000</v>
      </c>
      <c r="E981">
        <v>0</v>
      </c>
      <c r="F981" t="s">
        <v>27</v>
      </c>
      <c r="G981" t="s">
        <v>14</v>
      </c>
      <c r="H981" t="s">
        <v>15</v>
      </c>
      <c r="I981">
        <v>1</v>
      </c>
      <c r="J981" t="s">
        <v>23</v>
      </c>
      <c r="K981" t="s">
        <v>32</v>
      </c>
      <c r="L981">
        <v>31</v>
      </c>
      <c r="M981" t="str">
        <f t="shared" si="15"/>
        <v>Middle age 31-54</v>
      </c>
      <c r="N981" t="s">
        <v>18</v>
      </c>
    </row>
    <row r="982" spans="1:14" x14ac:dyDescent="0.25">
      <c r="A982">
        <v>18594</v>
      </c>
      <c r="B982" t="s">
        <v>37</v>
      </c>
      <c r="C982" t="s">
        <v>39</v>
      </c>
      <c r="D982" s="3">
        <v>80000</v>
      </c>
      <c r="E982">
        <v>3</v>
      </c>
      <c r="F982" t="s">
        <v>13</v>
      </c>
      <c r="G982" t="s">
        <v>14</v>
      </c>
      <c r="H982" t="s">
        <v>15</v>
      </c>
      <c r="I982">
        <v>3</v>
      </c>
      <c r="J982" t="s">
        <v>47</v>
      </c>
      <c r="K982" t="s">
        <v>32</v>
      </c>
      <c r="L982">
        <v>40</v>
      </c>
      <c r="M982" t="str">
        <f t="shared" si="15"/>
        <v>Middle age 31-54</v>
      </c>
      <c r="N982" t="s">
        <v>15</v>
      </c>
    </row>
    <row r="983" spans="1:14" x14ac:dyDescent="0.25">
      <c r="A983">
        <v>15982</v>
      </c>
      <c r="B983" t="s">
        <v>36</v>
      </c>
      <c r="C983" t="s">
        <v>40</v>
      </c>
      <c r="D983" s="3">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40</v>
      </c>
      <c r="D984" s="3">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36</v>
      </c>
      <c r="C985" t="s">
        <v>40</v>
      </c>
      <c r="D985" s="3">
        <v>130000</v>
      </c>
      <c r="E985">
        <v>2</v>
      </c>
      <c r="F985" t="s">
        <v>31</v>
      </c>
      <c r="G985" t="s">
        <v>28</v>
      </c>
      <c r="H985" t="s">
        <v>15</v>
      </c>
      <c r="I985">
        <v>2</v>
      </c>
      <c r="J985" t="s">
        <v>16</v>
      </c>
      <c r="K985" t="s">
        <v>32</v>
      </c>
      <c r="L985">
        <v>41</v>
      </c>
      <c r="M985" t="str">
        <f t="shared" si="15"/>
        <v>Middle age 31-54</v>
      </c>
      <c r="N985" t="s">
        <v>18</v>
      </c>
    </row>
    <row r="986" spans="1:14" x14ac:dyDescent="0.25">
      <c r="A986">
        <v>25148</v>
      </c>
      <c r="B986" t="s">
        <v>36</v>
      </c>
      <c r="C986" t="s">
        <v>40</v>
      </c>
      <c r="D986" s="3">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25">
      <c r="A988">
        <v>23704</v>
      </c>
      <c r="B988" t="s">
        <v>37</v>
      </c>
      <c r="C988" t="s">
        <v>40</v>
      </c>
      <c r="D988" s="3">
        <v>40000</v>
      </c>
      <c r="E988">
        <v>5</v>
      </c>
      <c r="F988" t="s">
        <v>27</v>
      </c>
      <c r="G988" t="s">
        <v>21</v>
      </c>
      <c r="H988" t="s">
        <v>15</v>
      </c>
      <c r="I988">
        <v>4</v>
      </c>
      <c r="J988" t="s">
        <v>47</v>
      </c>
      <c r="K988" t="s">
        <v>32</v>
      </c>
      <c r="L988">
        <v>60</v>
      </c>
      <c r="M988" t="str">
        <f t="shared" si="15"/>
        <v>Old 55+</v>
      </c>
      <c r="N988" t="s">
        <v>15</v>
      </c>
    </row>
    <row r="989" spans="1:14" x14ac:dyDescent="0.25">
      <c r="A989">
        <v>28972</v>
      </c>
      <c r="B989" t="s">
        <v>37</v>
      </c>
      <c r="C989" t="s">
        <v>39</v>
      </c>
      <c r="D989" s="3">
        <v>60000</v>
      </c>
      <c r="E989">
        <v>3</v>
      </c>
      <c r="F989" t="s">
        <v>31</v>
      </c>
      <c r="G989" t="s">
        <v>28</v>
      </c>
      <c r="H989" t="s">
        <v>15</v>
      </c>
      <c r="I989">
        <v>2</v>
      </c>
      <c r="J989" t="s">
        <v>47</v>
      </c>
      <c r="K989" t="s">
        <v>32</v>
      </c>
      <c r="L989">
        <v>66</v>
      </c>
      <c r="M989" t="str">
        <f t="shared" si="15"/>
        <v>Old 55+</v>
      </c>
      <c r="N989" t="s">
        <v>18</v>
      </c>
    </row>
    <row r="990" spans="1:14" x14ac:dyDescent="0.25">
      <c r="A990">
        <v>22730</v>
      </c>
      <c r="B990" t="s">
        <v>36</v>
      </c>
      <c r="C990" t="s">
        <v>40</v>
      </c>
      <c r="D990" s="3">
        <v>70000</v>
      </c>
      <c r="E990">
        <v>5</v>
      </c>
      <c r="F990" t="s">
        <v>13</v>
      </c>
      <c r="G990" t="s">
        <v>28</v>
      </c>
      <c r="H990" t="s">
        <v>15</v>
      </c>
      <c r="I990">
        <v>2</v>
      </c>
      <c r="J990" t="s">
        <v>47</v>
      </c>
      <c r="K990" t="s">
        <v>32</v>
      </c>
      <c r="L990">
        <v>63</v>
      </c>
      <c r="M990" t="str">
        <f t="shared" si="15"/>
        <v>Old 55+</v>
      </c>
      <c r="N990" t="s">
        <v>18</v>
      </c>
    </row>
    <row r="991" spans="1:14" x14ac:dyDescent="0.25">
      <c r="A991">
        <v>29134</v>
      </c>
      <c r="B991" t="s">
        <v>36</v>
      </c>
      <c r="C991" t="s">
        <v>40</v>
      </c>
      <c r="D991" s="3">
        <v>60000</v>
      </c>
      <c r="E991">
        <v>4</v>
      </c>
      <c r="F991" t="s">
        <v>13</v>
      </c>
      <c r="G991" t="s">
        <v>14</v>
      </c>
      <c r="H991" t="s">
        <v>18</v>
      </c>
      <c r="I991">
        <v>3</v>
      </c>
      <c r="J991" t="s">
        <v>47</v>
      </c>
      <c r="K991" t="s">
        <v>32</v>
      </c>
      <c r="L991">
        <v>42</v>
      </c>
      <c r="M991" t="str">
        <f t="shared" si="15"/>
        <v>Middle age 31-54</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36</v>
      </c>
      <c r="C994" t="s">
        <v>40</v>
      </c>
      <c r="D994" s="3">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40</v>
      </c>
      <c r="D995" s="3">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36</v>
      </c>
      <c r="C996" t="s">
        <v>40</v>
      </c>
      <c r="D996" s="3">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36</v>
      </c>
      <c r="C997" t="s">
        <v>40</v>
      </c>
      <c r="D997" s="3">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40</v>
      </c>
      <c r="D998" s="3">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36</v>
      </c>
      <c r="C999" t="s">
        <v>40</v>
      </c>
      <c r="D999" s="3">
        <v>60000</v>
      </c>
      <c r="E999">
        <v>2</v>
      </c>
      <c r="F999" t="s">
        <v>13</v>
      </c>
      <c r="G999" t="s">
        <v>14</v>
      </c>
      <c r="H999" t="s">
        <v>15</v>
      </c>
      <c r="I999">
        <v>0</v>
      </c>
      <c r="J999" t="s">
        <v>16</v>
      </c>
      <c r="K999" t="s">
        <v>32</v>
      </c>
      <c r="L999">
        <v>38</v>
      </c>
      <c r="M999" t="str">
        <f t="shared" si="15"/>
        <v>Middle age 31-54</v>
      </c>
      <c r="N999" t="s">
        <v>15</v>
      </c>
    </row>
    <row r="1000" spans="1:14" x14ac:dyDescent="0.25">
      <c r="A1000">
        <v>19664</v>
      </c>
      <c r="B1000" t="s">
        <v>37</v>
      </c>
      <c r="C1000" t="s">
        <v>40</v>
      </c>
      <c r="D1000" s="3">
        <v>100000</v>
      </c>
      <c r="E1000">
        <v>3</v>
      </c>
      <c r="F1000" t="s">
        <v>13</v>
      </c>
      <c r="G1000" t="s">
        <v>28</v>
      </c>
      <c r="H1000" t="s">
        <v>18</v>
      </c>
      <c r="I1000">
        <v>3</v>
      </c>
      <c r="J1000" t="s">
        <v>26</v>
      </c>
      <c r="K1000" t="s">
        <v>32</v>
      </c>
      <c r="L1000">
        <v>38</v>
      </c>
      <c r="M1000" t="str">
        <f t="shared" si="15"/>
        <v>Middle age 31-54</v>
      </c>
      <c r="N1000" t="s">
        <v>18</v>
      </c>
    </row>
    <row r="1001" spans="1:14" x14ac:dyDescent="0.25">
      <c r="A1001">
        <v>12121</v>
      </c>
      <c r="B1001" t="s">
        <v>37</v>
      </c>
      <c r="C1001" t="s">
        <v>40</v>
      </c>
      <c r="D1001" s="3">
        <v>60000</v>
      </c>
      <c r="E1001">
        <v>3</v>
      </c>
      <c r="F1001" t="s">
        <v>27</v>
      </c>
      <c r="G1001" t="s">
        <v>21</v>
      </c>
      <c r="H1001" t="s">
        <v>15</v>
      </c>
      <c r="I1001">
        <v>2</v>
      </c>
      <c r="J1001" t="s">
        <v>47</v>
      </c>
      <c r="K1001" t="s">
        <v>32</v>
      </c>
      <c r="L1001">
        <v>53</v>
      </c>
      <c r="M1001" t="str">
        <f t="shared" si="15"/>
        <v>Middle age 31-54</v>
      </c>
      <c r="N1001" t="s">
        <v>15</v>
      </c>
    </row>
  </sheetData>
  <autoFilter ref="N1:N1027" xr:uid="{3895D482-6BFA-43C7-AA5F-BC52EB01D1F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67706-633A-43BA-B792-4247F6000615}">
  <dimension ref="A3:D39"/>
  <sheetViews>
    <sheetView topLeftCell="A21" workbookViewId="0">
      <selection activeCell="L38" sqref="L38"/>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44</v>
      </c>
      <c r="B3" s="5" t="s">
        <v>45</v>
      </c>
    </row>
    <row r="4" spans="1:4" x14ac:dyDescent="0.25">
      <c r="A4" s="5" t="s">
        <v>42</v>
      </c>
      <c r="B4" t="s">
        <v>18</v>
      </c>
      <c r="C4" t="s">
        <v>15</v>
      </c>
      <c r="D4" t="s">
        <v>43</v>
      </c>
    </row>
    <row r="5" spans="1:4" x14ac:dyDescent="0.25">
      <c r="A5" s="6" t="s">
        <v>39</v>
      </c>
      <c r="B5" s="7">
        <v>70588.23529411765</v>
      </c>
      <c r="C5" s="7">
        <v>64705.882352941175</v>
      </c>
      <c r="D5" s="7">
        <v>67647.058823529413</v>
      </c>
    </row>
    <row r="6" spans="1:4" x14ac:dyDescent="0.25">
      <c r="A6" s="6" t="s">
        <v>40</v>
      </c>
      <c r="B6" s="7">
        <v>97500</v>
      </c>
      <c r="C6" s="7">
        <v>78750</v>
      </c>
      <c r="D6" s="7">
        <v>85000</v>
      </c>
    </row>
    <row r="7" spans="1:4" x14ac:dyDescent="0.25">
      <c r="A7" s="6" t="s">
        <v>43</v>
      </c>
      <c r="B7" s="7">
        <v>75714.28571428571</v>
      </c>
      <c r="C7" s="7">
        <v>69200</v>
      </c>
      <c r="D7" s="7">
        <v>72173.913043478256</v>
      </c>
    </row>
    <row r="20" spans="1:4" x14ac:dyDescent="0.25">
      <c r="A20" s="5" t="s">
        <v>46</v>
      </c>
      <c r="B20" s="5" t="s">
        <v>45</v>
      </c>
    </row>
    <row r="21" spans="1:4" x14ac:dyDescent="0.25">
      <c r="A21" s="5" t="s">
        <v>42</v>
      </c>
      <c r="B21" t="s">
        <v>18</v>
      </c>
      <c r="C21" t="s">
        <v>15</v>
      </c>
      <c r="D21" t="s">
        <v>43</v>
      </c>
    </row>
    <row r="22" spans="1:4" x14ac:dyDescent="0.25">
      <c r="A22" s="6" t="s">
        <v>16</v>
      </c>
      <c r="B22" s="4">
        <v>8</v>
      </c>
      <c r="C22" s="4">
        <v>5</v>
      </c>
      <c r="D22" s="4">
        <v>13</v>
      </c>
    </row>
    <row r="23" spans="1:4" x14ac:dyDescent="0.25">
      <c r="A23" s="6" t="s">
        <v>26</v>
      </c>
      <c r="B23" s="4">
        <v>7</v>
      </c>
      <c r="C23" s="4">
        <v>4</v>
      </c>
      <c r="D23" s="4">
        <v>11</v>
      </c>
    </row>
    <row r="24" spans="1:4" x14ac:dyDescent="0.25">
      <c r="A24" s="6" t="s">
        <v>22</v>
      </c>
      <c r="B24" s="4">
        <v>1</v>
      </c>
      <c r="C24" s="4">
        <v>9</v>
      </c>
      <c r="D24" s="4">
        <v>10</v>
      </c>
    </row>
    <row r="25" spans="1:4" x14ac:dyDescent="0.25">
      <c r="A25" s="6" t="s">
        <v>23</v>
      </c>
      <c r="B25" s="4">
        <v>3</v>
      </c>
      <c r="C25" s="4">
        <v>4</v>
      </c>
      <c r="D25" s="4">
        <v>7</v>
      </c>
    </row>
    <row r="26" spans="1:4" x14ac:dyDescent="0.25">
      <c r="A26" s="6" t="s">
        <v>47</v>
      </c>
      <c r="B26" s="4">
        <v>2</v>
      </c>
      <c r="C26" s="4">
        <v>3</v>
      </c>
      <c r="D26" s="4">
        <v>5</v>
      </c>
    </row>
    <row r="27" spans="1:4" x14ac:dyDescent="0.25">
      <c r="A27" s="6" t="s">
        <v>43</v>
      </c>
      <c r="B27" s="4">
        <v>21</v>
      </c>
      <c r="C27" s="4">
        <v>25</v>
      </c>
      <c r="D27" s="4">
        <v>46</v>
      </c>
    </row>
    <row r="35" spans="1:4" x14ac:dyDescent="0.25">
      <c r="A35" s="5" t="s">
        <v>46</v>
      </c>
      <c r="B35" s="5" t="s">
        <v>45</v>
      </c>
    </row>
    <row r="36" spans="1:4" x14ac:dyDescent="0.25">
      <c r="A36" s="5" t="s">
        <v>42</v>
      </c>
      <c r="B36" t="s">
        <v>18</v>
      </c>
      <c r="C36" t="s">
        <v>15</v>
      </c>
      <c r="D36" t="s">
        <v>43</v>
      </c>
    </row>
    <row r="37" spans="1:4" x14ac:dyDescent="0.25">
      <c r="A37" s="6" t="s">
        <v>48</v>
      </c>
      <c r="B37" s="4">
        <v>15</v>
      </c>
      <c r="C37" s="4">
        <v>21</v>
      </c>
      <c r="D37" s="4">
        <v>36</v>
      </c>
    </row>
    <row r="38" spans="1:4" x14ac:dyDescent="0.25">
      <c r="A38" s="6" t="s">
        <v>49</v>
      </c>
      <c r="B38" s="4">
        <v>6</v>
      </c>
      <c r="C38" s="4">
        <v>4</v>
      </c>
      <c r="D38" s="4">
        <v>10</v>
      </c>
    </row>
    <row r="39" spans="1:4" x14ac:dyDescent="0.25">
      <c r="A39" s="6" t="s">
        <v>43</v>
      </c>
      <c r="B39" s="4">
        <v>21</v>
      </c>
      <c r="C39" s="4">
        <v>25</v>
      </c>
      <c r="D39" s="4">
        <v>46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479CD-7CC4-4E3B-A9AB-CF8001E9515A}">
  <dimension ref="A1:N3"/>
  <sheetViews>
    <sheetView showGridLines="0" zoomScale="75" zoomScaleNormal="75" workbookViewId="0">
      <selection sqref="A1:Q25"/>
    </sheetView>
  </sheetViews>
  <sheetFormatPr defaultRowHeight="15" x14ac:dyDescent="0.25"/>
  <cols>
    <col min="9" max="9" width="9.28515625" customWidth="1"/>
  </cols>
  <sheetData>
    <row r="1" spans="1:14" x14ac:dyDescent="0.25">
      <c r="A1" s="9" t="s">
        <v>50</v>
      </c>
      <c r="B1" s="10"/>
      <c r="C1" s="10"/>
      <c r="D1" s="10"/>
      <c r="E1" s="10"/>
      <c r="F1" s="10"/>
      <c r="G1" s="10"/>
      <c r="H1" s="10"/>
      <c r="I1" s="10"/>
      <c r="J1" s="8"/>
      <c r="K1" s="8"/>
      <c r="L1" s="8"/>
      <c r="M1" s="8"/>
      <c r="N1" s="8"/>
    </row>
    <row r="2" spans="1:14" x14ac:dyDescent="0.25">
      <c r="A2" s="10"/>
      <c r="B2" s="10"/>
      <c r="C2" s="10"/>
      <c r="D2" s="10"/>
      <c r="E2" s="10"/>
      <c r="F2" s="10"/>
      <c r="G2" s="10"/>
      <c r="H2" s="10"/>
      <c r="I2" s="10"/>
      <c r="J2" s="8"/>
      <c r="K2" s="8"/>
      <c r="L2" s="8"/>
      <c r="M2" s="8"/>
      <c r="N2" s="8"/>
    </row>
    <row r="3" spans="1:14" x14ac:dyDescent="0.25">
      <c r="A3" s="10"/>
      <c r="B3" s="10"/>
      <c r="C3" s="10"/>
      <c r="D3" s="10"/>
      <c r="E3" s="10"/>
      <c r="F3" s="10"/>
      <c r="G3" s="10"/>
      <c r="H3" s="10"/>
      <c r="I3" s="10"/>
      <c r="J3" s="8"/>
      <c r="K3" s="8"/>
      <c r="L3" s="8"/>
      <c r="M3" s="8"/>
      <c r="N3" s="8"/>
    </row>
  </sheetData>
  <mergeCells count="1">
    <mergeCell ref="A1:I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fkm7143@gmail.com</cp:lastModifiedBy>
  <dcterms:created xsi:type="dcterms:W3CDTF">2022-03-18T02:50:57Z</dcterms:created>
  <dcterms:modified xsi:type="dcterms:W3CDTF">2026-05-17T01:44:10Z</dcterms:modified>
</cp:coreProperties>
</file>